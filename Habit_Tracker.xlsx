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ecea47ed236db4/Documents/"/>
    </mc:Choice>
  </mc:AlternateContent>
  <xr:revisionPtr revIDLastSave="534" documentId="8_{B4A92509-3616-4288-BBE3-4F78B3E6BF80}" xr6:coauthVersionLast="47" xr6:coauthVersionMax="47" xr10:uidLastSave="{016A3F08-A685-4EDB-AB94-8C47C3EDF925}"/>
  <bookViews>
    <workbookView xWindow="-120" yWindow="-120" windowWidth="29040" windowHeight="15720" xr2:uid="{2D96F968-432B-4D36-81A1-42C339CDBEC7}"/>
  </bookViews>
  <sheets>
    <sheet name="Tracker" sheetId="1" r:id="rId1"/>
  </sheets>
  <definedNames>
    <definedName name="APRIL2026">Tracker!$D$45</definedName>
    <definedName name="FEBRUARY2026">Tracker!$D$17</definedName>
    <definedName name="JANUARY2026">Tracker!$D$3</definedName>
    <definedName name="JULY2026">Tracker!$D$87</definedName>
    <definedName name="JUNE2026">Tracker!$D$73</definedName>
    <definedName name="MARCH2026">Tracker!$D$31</definedName>
    <definedName name="MAY_2026">Tracker!$D$59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94" i="1" l="1"/>
  <c r="AJ95" i="1"/>
  <c r="AJ96" i="1"/>
  <c r="AJ97" i="1"/>
  <c r="AJ98" i="1"/>
  <c r="AJ99" i="1"/>
  <c r="AJ93" i="1"/>
  <c r="AK99" i="1"/>
  <c r="AL99" i="1" s="1"/>
  <c r="AK98" i="1"/>
  <c r="AK97" i="1"/>
  <c r="AL97" i="1" s="1"/>
  <c r="AK96" i="1"/>
  <c r="AL96" i="1" s="1"/>
  <c r="AK95" i="1"/>
  <c r="AL95" i="1" s="1"/>
  <c r="AK94" i="1"/>
  <c r="AL94" i="1" s="1"/>
  <c r="AK93" i="1"/>
  <c r="AB88" i="1"/>
  <c r="W88" i="1"/>
  <c r="S88" i="1"/>
  <c r="N88" i="1"/>
  <c r="AI80" i="1"/>
  <c r="AI81" i="1"/>
  <c r="AI82" i="1"/>
  <c r="AI83" i="1"/>
  <c r="AI84" i="1"/>
  <c r="AI85" i="1"/>
  <c r="AI79" i="1"/>
  <c r="AJ85" i="1"/>
  <c r="AJ84" i="1"/>
  <c r="AK84" i="1" s="1"/>
  <c r="AK83" i="1"/>
  <c r="AJ83" i="1"/>
  <c r="AJ82" i="1"/>
  <c r="AK82" i="1" s="1"/>
  <c r="AJ81" i="1"/>
  <c r="AK81" i="1" s="1"/>
  <c r="AJ80" i="1"/>
  <c r="AK80" i="1" s="1"/>
  <c r="AJ79" i="1"/>
  <c r="AB74" i="1"/>
  <c r="W74" i="1"/>
  <c r="S74" i="1"/>
  <c r="N74" i="1"/>
  <c r="AJ65" i="1"/>
  <c r="AJ66" i="1"/>
  <c r="AJ67" i="1"/>
  <c r="AJ68" i="1"/>
  <c r="AJ69" i="1"/>
  <c r="AJ70" i="1"/>
  <c r="AJ71" i="1"/>
  <c r="AK71" i="1"/>
  <c r="AL71" i="1" s="1"/>
  <c r="AK70" i="1"/>
  <c r="AL70" i="1" s="1"/>
  <c r="AK69" i="1"/>
  <c r="AL69" i="1" s="1"/>
  <c r="AK68" i="1"/>
  <c r="AL68" i="1" s="1"/>
  <c r="AK67" i="1"/>
  <c r="AL67" i="1" s="1"/>
  <c r="AK66" i="1"/>
  <c r="AL66" i="1" s="1"/>
  <c r="AK65" i="1"/>
  <c r="AB60" i="1"/>
  <c r="W60" i="1"/>
  <c r="S60" i="1"/>
  <c r="N60" i="1"/>
  <c r="AI52" i="1"/>
  <c r="AI53" i="1"/>
  <c r="AI54" i="1"/>
  <c r="AI55" i="1"/>
  <c r="AI56" i="1"/>
  <c r="AI57" i="1"/>
  <c r="AI51" i="1"/>
  <c r="AJ57" i="1"/>
  <c r="AJ56" i="1"/>
  <c r="AJ55" i="1"/>
  <c r="AJ54" i="1"/>
  <c r="AJ53" i="1"/>
  <c r="AJ52" i="1"/>
  <c r="AJ51" i="1"/>
  <c r="AB46" i="1"/>
  <c r="W46" i="1"/>
  <c r="S46" i="1"/>
  <c r="N46" i="1"/>
  <c r="AK39" i="1"/>
  <c r="AJ38" i="1"/>
  <c r="AJ39" i="1"/>
  <c r="AJ40" i="1"/>
  <c r="AJ41" i="1"/>
  <c r="AJ42" i="1"/>
  <c r="AJ43" i="1"/>
  <c r="AJ37" i="1"/>
  <c r="AK43" i="1"/>
  <c r="AL43" i="1" s="1"/>
  <c r="AK42" i="1"/>
  <c r="AK41" i="1"/>
  <c r="AK40" i="1"/>
  <c r="AK38" i="1"/>
  <c r="AK37" i="1"/>
  <c r="AB32" i="1"/>
  <c r="W32" i="1"/>
  <c r="S32" i="1"/>
  <c r="N32" i="1"/>
  <c r="AG24" i="1"/>
  <c r="AG25" i="1"/>
  <c r="AG26" i="1"/>
  <c r="AG27" i="1"/>
  <c r="AG28" i="1"/>
  <c r="AG29" i="1"/>
  <c r="AG23" i="1"/>
  <c r="AH29" i="1"/>
  <c r="AH28" i="1"/>
  <c r="AH27" i="1"/>
  <c r="AI27" i="1" s="1"/>
  <c r="AH26" i="1"/>
  <c r="AH25" i="1"/>
  <c r="AI25" i="1" s="1"/>
  <c r="AH24" i="1"/>
  <c r="AI24" i="1" s="1"/>
  <c r="AH23" i="1"/>
  <c r="AB18" i="1"/>
  <c r="W18" i="1"/>
  <c r="S18" i="1"/>
  <c r="N18" i="1"/>
  <c r="AB4" i="1"/>
  <c r="W4" i="1"/>
  <c r="AK10" i="1"/>
  <c r="AL10" i="1" s="1"/>
  <c r="AK11" i="1"/>
  <c r="AL11" i="1" s="1"/>
  <c r="AK12" i="1"/>
  <c r="AK13" i="1"/>
  <c r="AK14" i="1"/>
  <c r="AK15" i="1"/>
  <c r="AK9" i="1"/>
  <c r="AJ10" i="1"/>
  <c r="AJ11" i="1"/>
  <c r="AJ12" i="1"/>
  <c r="AJ13" i="1"/>
  <c r="AJ14" i="1"/>
  <c r="AJ15" i="1"/>
  <c r="AJ9" i="1"/>
  <c r="S4" i="1"/>
  <c r="N4" i="1"/>
  <c r="AL98" i="1" l="1"/>
  <c r="AL93" i="1"/>
  <c r="AK85" i="1"/>
  <c r="AK79" i="1"/>
  <c r="AL65" i="1"/>
  <c r="AK56" i="1"/>
  <c r="AK57" i="1"/>
  <c r="AL38" i="1"/>
  <c r="AK54" i="1"/>
  <c r="AK55" i="1"/>
  <c r="AL42" i="1"/>
  <c r="AK52" i="1"/>
  <c r="AI23" i="1"/>
  <c r="AK53" i="1"/>
  <c r="AL40" i="1"/>
  <c r="AL39" i="1"/>
  <c r="AL13" i="1"/>
  <c r="AK51" i="1"/>
  <c r="AL12" i="1"/>
  <c r="AL37" i="1"/>
  <c r="AL41" i="1"/>
  <c r="AI28" i="1"/>
  <c r="AI29" i="1"/>
  <c r="AI26" i="1"/>
  <c r="AL9" i="1"/>
  <c r="AL15" i="1"/>
  <c r="AL14" i="1"/>
</calcChain>
</file>

<file path=xl/sharedStrings.xml><?xml version="1.0" encoding="utf-8"?>
<sst xmlns="http://schemas.openxmlformats.org/spreadsheetml/2006/main" count="380" uniqueCount="49">
  <si>
    <t>2026 HABIT TRACKER</t>
  </si>
  <si>
    <t>Habits</t>
  </si>
  <si>
    <t>Sa</t>
  </si>
  <si>
    <t>Su</t>
  </si>
  <si>
    <t>Mo</t>
  </si>
  <si>
    <t>Tu</t>
  </si>
  <si>
    <t>We</t>
  </si>
  <si>
    <t>Th</t>
  </si>
  <si>
    <t>Fr</t>
  </si>
  <si>
    <t>Week 1</t>
  </si>
  <si>
    <t>Week 2</t>
  </si>
  <si>
    <t>Week 3</t>
  </si>
  <si>
    <t>Week 4</t>
  </si>
  <si>
    <t>Last 3 Days</t>
  </si>
  <si>
    <t>Habit  1</t>
  </si>
  <si>
    <t>Habit 2</t>
  </si>
  <si>
    <t>Habit 3</t>
  </si>
  <si>
    <t>Habit 4</t>
  </si>
  <si>
    <t>So on…</t>
  </si>
  <si>
    <t>Habit  5</t>
  </si>
  <si>
    <t>Habit  6</t>
  </si>
  <si>
    <t>Number of Habits</t>
  </si>
  <si>
    <t>JANUARY</t>
  </si>
  <si>
    <t>Number of Habits Completed</t>
  </si>
  <si>
    <t>Analysis</t>
  </si>
  <si>
    <t>Goal</t>
  </si>
  <si>
    <t>Actual</t>
  </si>
  <si>
    <t>Progress</t>
  </si>
  <si>
    <t>Progress in %</t>
  </si>
  <si>
    <t>May</t>
  </si>
  <si>
    <t>Home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</si>
  <si>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</si>
  <si>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</si>
  <si>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</si>
  <si>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</si>
  <si>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</si>
  <si>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</si>
  <si>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</si>
  <si>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</si>
  <si>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</si>
  <si>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</si>
  <si>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</si>
  <si>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FEBRUARY</t>
  </si>
  <si>
    <t>MARCH</t>
  </si>
  <si>
    <t xml:space="preserve">We </t>
  </si>
  <si>
    <t>APRIL</t>
  </si>
  <si>
    <t>MAY</t>
  </si>
  <si>
    <t>JUNE</t>
  </si>
  <si>
    <t>JULY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</si>
</sst>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36"/>
      <color theme="0"/>
      <name val="Cascadia Mono SemiBold"/>
      <family val="3"/>
    </font>
    <font>
      <sz val="8"/>
      <name val="Aptos Narrow"/>
      <family val="2"/>
      <scheme val="minor"/>
    </font>
    <font>
      <b/>
      <sz val="28"/>
      <color theme="0"/>
      <name val="Rockwell"/>
      <family val="1"/>
    </font>
    <font>
      <b/>
      <sz val="11"/>
      <color theme="0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0"/>
      <name val="Cascadia Mono SemiBold"/>
      <family val="3"/>
    </font>
    <font>
      <sz val="11"/>
      <color theme="0"/>
      <name val="Aharoni"/>
      <charset val="177"/>
    </font>
    <font>
      <u/>
      <sz val="11"/>
      <color theme="10"/>
      <name val="Aptos Narrow"/>
      <family val="2"/>
      <scheme val="minor"/>
    </font>
    <font>
      <b/>
      <sz val="12"/>
      <color theme="0"/>
      <name val="Aharoni"/>
      <charset val="177"/>
    </font>
    <font>
      <b/>
      <sz val="18"/>
      <color theme="1"/>
      <name val="Aptos Narrow"/>
      <family val="2"/>
      <scheme val="minor"/>
    </font>
    <font>
      <b/>
      <i/>
      <u/>
      <sz val="12"/>
      <color theme="0" tint="-4.9989318521683403E-2"/>
      <name val="Century Gothic"/>
      <family val="2"/>
    </font>
    <font>
      <b/>
      <i/>
      <sz val="12"/>
      <color theme="0" tint="-4.9989318521683403E-2"/>
      <name val="Century Gothic"/>
      <family val="2"/>
    </font>
    <font>
      <b/>
      <sz val="11"/>
      <name val="Aptos Narrow"/>
      <family val="2"/>
      <scheme val="minor"/>
    </font>
    <font>
      <b/>
      <sz val="1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611111"/>
        <bgColor indexed="64"/>
      </patternFill>
    </fill>
    <fill>
      <patternFill patternType="solid">
        <fgColor rgb="FFFBD7D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157">
    <xf numFmtId="0" fontId="0" fillId="0" borderId="0" xfId="0"/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4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0" xfId="0" applyFill="1"/>
    <xf numFmtId="0" fontId="0" fillId="0" borderId="1" xfId="0" applyBorder="1" applyAlignment="1">
      <alignment horizontal="center" vertical="center"/>
    </xf>
    <xf numFmtId="10" fontId="10" fillId="0" borderId="1" xfId="0" applyNumberFormat="1" applyFont="1" applyBorder="1" applyAlignment="1">
      <alignment horizontal="center" vertical="center"/>
    </xf>
    <xf numFmtId="0" fontId="3" fillId="3" borderId="3" xfId="0" applyFont="1" applyFill="1" applyBorder="1"/>
    <xf numFmtId="0" fontId="3" fillId="3" borderId="10" xfId="0" applyFont="1" applyFill="1" applyBorder="1"/>
    <xf numFmtId="0" fontId="7" fillId="3" borderId="10" xfId="0" applyFont="1" applyFill="1" applyBorder="1" applyAlignment="1">
      <alignment horizontal="center" vertical="center"/>
    </xf>
    <xf numFmtId="0" fontId="0" fillId="3" borderId="10" xfId="0" applyFill="1" applyBorder="1"/>
    <xf numFmtId="0" fontId="3" fillId="3" borderId="11" xfId="0" applyFont="1" applyFill="1" applyBorder="1"/>
    <xf numFmtId="0" fontId="3" fillId="3" borderId="5" xfId="0" applyFont="1" applyFill="1" applyBorder="1"/>
    <xf numFmtId="0" fontId="3" fillId="3" borderId="2" xfId="0" applyFont="1" applyFill="1" applyBorder="1"/>
    <xf numFmtId="0" fontId="3" fillId="3" borderId="2" xfId="0" applyFont="1" applyFill="1" applyBorder="1" applyAlignment="1">
      <alignment horizontal="center" vertical="top"/>
    </xf>
    <xf numFmtId="0" fontId="0" fillId="3" borderId="2" xfId="0" applyFill="1" applyBorder="1"/>
    <xf numFmtId="9" fontId="3" fillId="3" borderId="2" xfId="1" applyFont="1" applyFill="1" applyBorder="1" applyAlignment="1">
      <alignment horizontal="center" vertical="center"/>
    </xf>
    <xf numFmtId="0" fontId="3" fillId="3" borderId="12" xfId="0" applyFont="1" applyFill="1" applyBorder="1"/>
    <xf numFmtId="0" fontId="11" fillId="2" borderId="0" xfId="0" applyFont="1" applyFill="1" applyAlignment="1">
      <alignment vertical="center"/>
    </xf>
    <xf numFmtId="0" fontId="12" fillId="5" borderId="0" xfId="0" applyFont="1" applyFill="1" applyAlignment="1">
      <alignment horizontal="center" vertical="center"/>
    </xf>
    <xf numFmtId="0" fontId="14" fillId="2" borderId="0" xfId="2" applyFont="1" applyFill="1" applyAlignment="1">
      <alignment horizontal="center" vertical="center"/>
    </xf>
    <xf numFmtId="0" fontId="12" fillId="5" borderId="0" xfId="2" applyFont="1" applyFill="1" applyAlignment="1">
      <alignment horizontal="center" vertical="center"/>
    </xf>
    <xf numFmtId="0" fontId="3" fillId="0" borderId="0" xfId="0" applyFont="1"/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3" fillId="7" borderId="3" xfId="0" applyFont="1" applyFill="1" applyBorder="1"/>
    <xf numFmtId="0" fontId="3" fillId="7" borderId="10" xfId="0" applyFont="1" applyFill="1" applyBorder="1"/>
    <xf numFmtId="0" fontId="7" fillId="7" borderId="10" xfId="0" applyFont="1" applyFill="1" applyBorder="1" applyAlignment="1">
      <alignment horizontal="center" vertical="center"/>
    </xf>
    <xf numFmtId="0" fontId="0" fillId="7" borderId="10" xfId="0" applyFill="1" applyBorder="1"/>
    <xf numFmtId="0" fontId="3" fillId="7" borderId="11" xfId="0" applyFont="1" applyFill="1" applyBorder="1"/>
    <xf numFmtId="0" fontId="3" fillId="7" borderId="5" xfId="0" applyFont="1" applyFill="1" applyBorder="1"/>
    <xf numFmtId="0" fontId="3" fillId="7" borderId="2" xfId="0" applyFont="1" applyFill="1" applyBorder="1"/>
    <xf numFmtId="0" fontId="3" fillId="7" borderId="2" xfId="0" applyFont="1" applyFill="1" applyBorder="1" applyAlignment="1">
      <alignment horizontal="center" vertical="top"/>
    </xf>
    <xf numFmtId="0" fontId="0" fillId="7" borderId="2" xfId="0" applyFill="1" applyBorder="1"/>
    <xf numFmtId="9" fontId="3" fillId="7" borderId="2" xfId="1" applyFont="1" applyFill="1" applyBorder="1" applyAlignment="1">
      <alignment horizontal="center" vertical="center"/>
    </xf>
    <xf numFmtId="0" fontId="3" fillId="7" borderId="12" xfId="0" applyFont="1" applyFill="1" applyBorder="1"/>
    <xf numFmtId="0" fontId="1" fillId="7" borderId="1" xfId="0" applyFont="1" applyFill="1" applyBorder="1" applyAlignment="1">
      <alignment horizontal="center"/>
    </xf>
    <xf numFmtId="0" fontId="3" fillId="7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8" borderId="1" xfId="0" applyFont="1" applyFill="1" applyBorder="1" applyAlignment="1">
      <alignment horizontal="center"/>
    </xf>
    <xf numFmtId="0" fontId="0" fillId="8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0" fillId="8" borderId="7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9" xfId="0" applyFill="1" applyBorder="1" applyAlignment="1">
      <alignment vertical="center"/>
    </xf>
    <xf numFmtId="0" fontId="3" fillId="9" borderId="3" xfId="0" applyFont="1" applyFill="1" applyBorder="1"/>
    <xf numFmtId="0" fontId="3" fillId="9" borderId="10" xfId="0" applyFont="1" applyFill="1" applyBorder="1"/>
    <xf numFmtId="0" fontId="7" fillId="9" borderId="10" xfId="0" applyFont="1" applyFill="1" applyBorder="1" applyAlignment="1">
      <alignment horizontal="center" vertical="center"/>
    </xf>
    <xf numFmtId="0" fontId="0" fillId="9" borderId="10" xfId="0" applyFill="1" applyBorder="1"/>
    <xf numFmtId="0" fontId="3" fillId="9" borderId="11" xfId="0" applyFont="1" applyFill="1" applyBorder="1"/>
    <xf numFmtId="0" fontId="3" fillId="9" borderId="5" xfId="0" applyFont="1" applyFill="1" applyBorder="1"/>
    <xf numFmtId="0" fontId="3" fillId="9" borderId="2" xfId="0" applyFont="1" applyFill="1" applyBorder="1"/>
    <xf numFmtId="0" fontId="3" fillId="9" borderId="2" xfId="0" applyFont="1" applyFill="1" applyBorder="1" applyAlignment="1">
      <alignment horizontal="center" vertical="top"/>
    </xf>
    <xf numFmtId="0" fontId="0" fillId="9" borderId="2" xfId="0" applyFill="1" applyBorder="1"/>
    <xf numFmtId="9" fontId="3" fillId="9" borderId="2" xfId="1" applyFont="1" applyFill="1" applyBorder="1" applyAlignment="1">
      <alignment horizontal="center" vertical="center"/>
    </xf>
    <xf numFmtId="0" fontId="3" fillId="9" borderId="12" xfId="0" applyFont="1" applyFill="1" applyBorder="1"/>
    <xf numFmtId="0" fontId="1" fillId="9" borderId="1" xfId="0" applyFont="1" applyFill="1" applyBorder="1" applyAlignment="1">
      <alignment horizontal="center"/>
    </xf>
    <xf numFmtId="0" fontId="3" fillId="9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7" xfId="0" applyFill="1" applyBorder="1" applyAlignment="1">
      <alignment vertical="center"/>
    </xf>
    <xf numFmtId="0" fontId="0" fillId="10" borderId="8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2" fillId="10" borderId="1" xfId="0" applyFont="1" applyFill="1" applyBorder="1" applyAlignment="1">
      <alignment horizontal="center"/>
    </xf>
    <xf numFmtId="0" fontId="0" fillId="10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11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6" fillId="9" borderId="10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8" fillId="10" borderId="1" xfId="0" applyFont="1" applyFill="1" applyBorder="1" applyAlignment="1">
      <alignment horizontal="center"/>
    </xf>
    <xf numFmtId="0" fontId="19" fillId="0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/>
    </xf>
    <xf numFmtId="0" fontId="18" fillId="0" borderId="13" xfId="0" applyFont="1" applyFill="1" applyBorder="1" applyAlignment="1">
      <alignment horizontal="center"/>
    </xf>
    <xf numFmtId="0" fontId="18" fillId="0" borderId="14" xfId="0" applyFont="1" applyFill="1" applyBorder="1" applyAlignment="1">
      <alignment horizontal="center"/>
    </xf>
    <xf numFmtId="0" fontId="18" fillId="0" borderId="1" xfId="0" applyFont="1" applyFill="1" applyBorder="1" applyAlignment="1">
      <alignment horizontal="center"/>
    </xf>
    <xf numFmtId="0" fontId="10" fillId="0" borderId="7" xfId="0" applyFont="1" applyFill="1" applyBorder="1" applyAlignment="1">
      <alignment vertical="center"/>
    </xf>
    <xf numFmtId="0" fontId="10" fillId="0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8" xfId="0" applyFont="1" applyFill="1" applyBorder="1" applyAlignment="1">
      <alignment vertical="center"/>
    </xf>
    <xf numFmtId="0" fontId="10" fillId="0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9" xfId="0" applyFont="1" applyFill="1" applyBorder="1" applyAlignment="1">
      <alignment vertical="center"/>
    </xf>
    <xf numFmtId="0" fontId="10" fillId="0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2" borderId="0" xfId="2" applyFill="1" applyAlignment="1">
      <alignment horizontal="center" vertic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BD7D7"/>
      <color rgb="FF6111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6375-0F2F-4F06-9FDB-7B5BD7FAF4A3}">
  <dimension ref="A1:AM99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5" sqref="C5"/>
    </sheetView>
  </sheetViews>
  <sheetFormatPr defaultRowHeight="22.5" customHeight="1" x14ac:dyDescent="0.25"/>
  <cols>
    <col min="1" max="1" width="12" style="22" customWidth="1"/>
    <col min="3" max="3" width="19.42578125" customWidth="1"/>
    <col min="4" max="34" width="6.7109375" customWidth="1"/>
    <col min="38" max="38" width="12.28515625" customWidth="1"/>
  </cols>
  <sheetData>
    <row r="1" spans="1:39" s="3" customFormat="1" ht="51" x14ac:dyDescent="0.25">
      <c r="A1" s="38" t="s">
        <v>30</v>
      </c>
      <c r="B1" s="3" t="s">
        <v>0</v>
      </c>
      <c r="L1" s="41" t="s">
        <v>31</v>
      </c>
      <c r="M1" s="41" t="s">
        <v>32</v>
      </c>
      <c r="N1" s="41" t="s">
        <v>33</v>
      </c>
      <c r="O1" s="41" t="s">
        <v>34</v>
      </c>
      <c r="P1" s="41" t="s">
        <v>29</v>
      </c>
      <c r="Q1" s="41" t="s">
        <v>35</v>
      </c>
      <c r="R1" s="41" t="s">
        <v>36</v>
      </c>
      <c r="S1" s="42" t="s">
        <v>37</v>
      </c>
      <c r="T1" s="42" t="s">
        <v>38</v>
      </c>
      <c r="U1" s="42" t="s">
        <v>39</v>
      </c>
      <c r="V1" s="42" t="s">
        <v>40</v>
      </c>
      <c r="W1" s="42" t="s">
        <v>41</v>
      </c>
      <c r="X1" s="36"/>
      <c r="Y1" s="156"/>
      <c r="AM1" s="41" t="s">
        <v>41</v>
      </c>
    </row>
    <row r="2" spans="1:39" ht="15" x14ac:dyDescent="0.25"/>
    <row r="3" spans="1:39" ht="22.5" customHeight="1" x14ac:dyDescent="0.25">
      <c r="A3" s="39"/>
      <c r="C3" s="25"/>
      <c r="D3" s="132" t="s">
        <v>22</v>
      </c>
      <c r="E3" s="132"/>
      <c r="F3" s="132"/>
      <c r="G3" s="132"/>
      <c r="H3" s="132"/>
      <c r="I3" s="132"/>
      <c r="J3" s="132"/>
      <c r="K3" s="26"/>
      <c r="L3" s="26"/>
      <c r="M3" s="26"/>
      <c r="N3" s="27" t="s">
        <v>21</v>
      </c>
      <c r="O3" s="26"/>
      <c r="P3" s="26"/>
      <c r="Q3" s="26"/>
      <c r="R3" s="26"/>
      <c r="S3" s="27" t="s">
        <v>23</v>
      </c>
      <c r="T3" s="26"/>
      <c r="U3" s="28"/>
      <c r="V3" s="26"/>
      <c r="W3" s="26"/>
      <c r="X3" s="27" t="s">
        <v>27</v>
      </c>
      <c r="Y3" s="26"/>
      <c r="Z3" s="26"/>
      <c r="AA3" s="26"/>
      <c r="AB3" s="27" t="s">
        <v>28</v>
      </c>
      <c r="AC3" s="26"/>
      <c r="AD3" s="26"/>
      <c r="AE3" s="26"/>
      <c r="AF3" s="26"/>
      <c r="AG3" s="26"/>
      <c r="AH3" s="29"/>
    </row>
    <row r="4" spans="1:39" ht="22.5" customHeight="1" x14ac:dyDescent="0.25">
      <c r="A4" s="37"/>
      <c r="C4" s="30"/>
      <c r="D4" s="133"/>
      <c r="E4" s="133"/>
      <c r="F4" s="133"/>
      <c r="G4" s="133"/>
      <c r="H4" s="133"/>
      <c r="I4" s="133"/>
      <c r="J4" s="133"/>
      <c r="K4" s="31"/>
      <c r="L4" s="31"/>
      <c r="M4" s="31"/>
      <c r="N4" s="32">
        <f>COUNTA(C9:C15)</f>
        <v>7</v>
      </c>
      <c r="O4" s="31"/>
      <c r="P4" s="31"/>
      <c r="Q4" s="31"/>
      <c r="R4" s="31"/>
      <c r="S4" s="32">
        <f>COUNTIF(D9:AH15,TRUE)</f>
        <v>0</v>
      </c>
      <c r="T4" s="31"/>
      <c r="U4" s="33"/>
      <c r="V4" s="31"/>
      <c r="W4" s="135">
        <f>COUNTIF(D9:AH15, TRUE)/(COUNTA(D8:AH8)*COUNTA(C9:C15))</f>
        <v>0</v>
      </c>
      <c r="X4" s="135"/>
      <c r="Y4" s="135"/>
      <c r="Z4" s="31"/>
      <c r="AA4" s="31"/>
      <c r="AB4" s="34">
        <f>COUNTIF(D9:AH15, TRUE)/(COUNTA(D8:AH8)*COUNTA(C9:C15))</f>
        <v>0</v>
      </c>
      <c r="AC4" s="31"/>
      <c r="AD4" s="31"/>
      <c r="AE4" s="31"/>
      <c r="AF4" s="31"/>
      <c r="AG4" s="31"/>
      <c r="AH4" s="35"/>
    </row>
    <row r="5" spans="1:39" ht="22.5" customHeight="1" x14ac:dyDescent="0.25">
      <c r="A5" s="37"/>
    </row>
    <row r="6" spans="1:39" ht="22.5" customHeight="1" x14ac:dyDescent="0.25">
      <c r="A6" s="37"/>
      <c r="C6" s="131" t="s">
        <v>1</v>
      </c>
      <c r="D6" s="136" t="s">
        <v>9</v>
      </c>
      <c r="E6" s="136"/>
      <c r="F6" s="136"/>
      <c r="G6" s="136"/>
      <c r="H6" s="136"/>
      <c r="I6" s="136"/>
      <c r="J6" s="136"/>
      <c r="K6" s="137" t="s">
        <v>10</v>
      </c>
      <c r="L6" s="137"/>
      <c r="M6" s="137"/>
      <c r="N6" s="137"/>
      <c r="O6" s="137"/>
      <c r="P6" s="137"/>
      <c r="Q6" s="137"/>
      <c r="R6" s="136" t="s">
        <v>11</v>
      </c>
      <c r="S6" s="136"/>
      <c r="T6" s="136"/>
      <c r="U6" s="136"/>
      <c r="V6" s="136"/>
      <c r="W6" s="136"/>
      <c r="X6" s="136"/>
      <c r="Y6" s="137" t="s">
        <v>12</v>
      </c>
      <c r="Z6" s="137"/>
      <c r="AA6" s="137"/>
      <c r="AB6" s="137"/>
      <c r="AC6" s="137"/>
      <c r="AD6" s="137"/>
      <c r="AE6" s="137"/>
      <c r="AF6" s="136" t="s">
        <v>13</v>
      </c>
      <c r="AG6" s="136"/>
      <c r="AH6" s="136"/>
      <c r="AJ6" s="134" t="s">
        <v>24</v>
      </c>
      <c r="AK6" s="134"/>
      <c r="AL6" s="134"/>
    </row>
    <row r="7" spans="1:39" ht="22.5" customHeight="1" x14ac:dyDescent="0.25">
      <c r="A7" s="37"/>
      <c r="C7" s="131"/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2" t="s">
        <v>2</v>
      </c>
      <c r="L7" s="2" t="s">
        <v>3</v>
      </c>
      <c r="M7" s="2" t="s">
        <v>4</v>
      </c>
      <c r="N7" s="2" t="s">
        <v>5</v>
      </c>
      <c r="O7" s="2" t="s">
        <v>6</v>
      </c>
      <c r="P7" s="2" t="s">
        <v>7</v>
      </c>
      <c r="Q7" s="2" t="s">
        <v>8</v>
      </c>
      <c r="R7" s="1" t="s">
        <v>2</v>
      </c>
      <c r="S7" s="1" t="s">
        <v>3</v>
      </c>
      <c r="T7" s="1" t="s">
        <v>4</v>
      </c>
      <c r="U7" s="1" t="s">
        <v>5</v>
      </c>
      <c r="V7" s="1" t="s">
        <v>6</v>
      </c>
      <c r="W7" s="1" t="s">
        <v>7</v>
      </c>
      <c r="X7" s="1" t="s">
        <v>8</v>
      </c>
      <c r="Y7" s="2" t="s">
        <v>2</v>
      </c>
      <c r="Z7" s="2" t="s">
        <v>3</v>
      </c>
      <c r="AA7" s="2" t="s">
        <v>4</v>
      </c>
      <c r="AB7" s="2" t="s">
        <v>5</v>
      </c>
      <c r="AC7" s="2" t="s">
        <v>6</v>
      </c>
      <c r="AD7" s="2" t="s">
        <v>7</v>
      </c>
      <c r="AE7" s="2" t="s">
        <v>8</v>
      </c>
      <c r="AF7" s="1" t="s">
        <v>2</v>
      </c>
      <c r="AG7" s="1" t="s">
        <v>3</v>
      </c>
      <c r="AH7" s="1" t="s">
        <v>4</v>
      </c>
      <c r="AJ7" s="134"/>
      <c r="AK7" s="134"/>
      <c r="AL7" s="134"/>
    </row>
    <row r="8" spans="1:39" ht="22.5" customHeight="1" x14ac:dyDescent="0.25">
      <c r="A8" s="37"/>
      <c r="C8" s="131"/>
      <c r="D8" s="1">
        <v>1</v>
      </c>
      <c r="E8" s="1">
        <v>2</v>
      </c>
      <c r="F8" s="1">
        <v>3</v>
      </c>
      <c r="G8" s="1">
        <v>4</v>
      </c>
      <c r="H8" s="1">
        <v>5</v>
      </c>
      <c r="I8" s="1">
        <v>6</v>
      </c>
      <c r="J8" s="1">
        <v>7</v>
      </c>
      <c r="K8" s="2">
        <v>8</v>
      </c>
      <c r="L8" s="2">
        <v>9</v>
      </c>
      <c r="M8" s="2">
        <v>10</v>
      </c>
      <c r="N8" s="2">
        <v>11</v>
      </c>
      <c r="O8" s="2">
        <v>12</v>
      </c>
      <c r="P8" s="2">
        <v>13</v>
      </c>
      <c r="Q8" s="2">
        <v>14</v>
      </c>
      <c r="R8" s="1">
        <v>15</v>
      </c>
      <c r="S8" s="1">
        <v>16</v>
      </c>
      <c r="T8" s="1">
        <v>17</v>
      </c>
      <c r="U8" s="1">
        <v>18</v>
      </c>
      <c r="V8" s="1">
        <v>19</v>
      </c>
      <c r="W8" s="1">
        <v>20</v>
      </c>
      <c r="X8" s="1">
        <v>21</v>
      </c>
      <c r="Y8" s="2">
        <v>22</v>
      </c>
      <c r="Z8" s="2">
        <v>23</v>
      </c>
      <c r="AA8" s="2">
        <v>24</v>
      </c>
      <c r="AB8" s="2">
        <v>25</v>
      </c>
      <c r="AC8" s="2">
        <v>26</v>
      </c>
      <c r="AD8" s="2">
        <v>27</v>
      </c>
      <c r="AE8" s="2">
        <v>28</v>
      </c>
      <c r="AF8" s="1">
        <v>29</v>
      </c>
      <c r="AG8" s="1">
        <v>30</v>
      </c>
      <c r="AH8" s="1">
        <v>31</v>
      </c>
      <c r="AJ8" s="74" t="s">
        <v>25</v>
      </c>
      <c r="AK8" s="74" t="s">
        <v>26</v>
      </c>
      <c r="AL8" s="74" t="s">
        <v>27</v>
      </c>
    </row>
    <row r="9" spans="1:39" ht="22.5" customHeight="1" x14ac:dyDescent="0.25">
      <c r="A9" s="37"/>
      <c r="C9" s="76" t="s">
        <v>14</v>
      </c>
      <c r="D9" s="5" t="b">
        <v>0</v>
      </c>
      <c r="E9" s="6" t="b">
        <v>0</v>
      </c>
      <c r="F9" s="6" t="b">
        <v>0</v>
      </c>
      <c r="G9" s="6" t="b">
        <v>0</v>
      </c>
      <c r="H9" s="6" t="b">
        <v>0</v>
      </c>
      <c r="I9" s="6" t="b">
        <v>0</v>
      </c>
      <c r="J9" s="7" t="b">
        <v>0</v>
      </c>
      <c r="K9" s="13" t="b">
        <v>0</v>
      </c>
      <c r="L9" s="14" t="b">
        <v>0</v>
      </c>
      <c r="M9" s="14" t="b">
        <v>0</v>
      </c>
      <c r="N9" s="14" t="b">
        <v>0</v>
      </c>
      <c r="O9" s="14" t="b">
        <v>0</v>
      </c>
      <c r="P9" s="14" t="b">
        <v>0</v>
      </c>
      <c r="Q9" s="15" t="b">
        <v>0</v>
      </c>
      <c r="R9" s="5" t="b">
        <v>0</v>
      </c>
      <c r="S9" s="6" t="b">
        <v>0</v>
      </c>
      <c r="T9" s="6" t="b">
        <v>0</v>
      </c>
      <c r="U9" s="6" t="b">
        <v>0</v>
      </c>
      <c r="V9" s="6" t="b">
        <v>0</v>
      </c>
      <c r="W9" s="6" t="b">
        <v>0</v>
      </c>
      <c r="X9" s="7" t="b">
        <v>0</v>
      </c>
      <c r="Y9" s="13" t="b">
        <v>0</v>
      </c>
      <c r="Z9" s="14" t="b">
        <v>0</v>
      </c>
      <c r="AA9" s="14" t="b">
        <v>0</v>
      </c>
      <c r="AB9" s="14" t="b">
        <v>0</v>
      </c>
      <c r="AC9" s="14" t="b">
        <v>0</v>
      </c>
      <c r="AD9" s="14" t="b">
        <v>0</v>
      </c>
      <c r="AE9" s="15" t="b">
        <v>0</v>
      </c>
      <c r="AF9" s="4" t="b">
        <v>0</v>
      </c>
      <c r="AG9" s="4" t="b">
        <v>0</v>
      </c>
      <c r="AH9" s="7" t="b">
        <v>0</v>
      </c>
      <c r="AJ9" s="23">
        <f>COUNTA($D$8:$AH$8)</f>
        <v>31</v>
      </c>
      <c r="AK9" s="23">
        <f>COUNTIF(D9:AH9, TRUE)</f>
        <v>0</v>
      </c>
      <c r="AL9" s="24">
        <f>AK9/AJ9</f>
        <v>0</v>
      </c>
    </row>
    <row r="10" spans="1:39" ht="22.5" customHeight="1" x14ac:dyDescent="0.25">
      <c r="A10" s="37"/>
      <c r="C10" s="77" t="s">
        <v>15</v>
      </c>
      <c r="D10" s="8" t="b">
        <v>0</v>
      </c>
      <c r="E10" s="4" t="b">
        <v>0</v>
      </c>
      <c r="F10" s="4" t="b">
        <v>0</v>
      </c>
      <c r="G10" s="4" t="b">
        <v>0</v>
      </c>
      <c r="H10" s="4" t="b">
        <v>0</v>
      </c>
      <c r="I10" s="4" t="b">
        <v>0</v>
      </c>
      <c r="J10" s="9" t="b">
        <v>0</v>
      </c>
      <c r="K10" s="16" t="b">
        <v>0</v>
      </c>
      <c r="L10" s="17" t="b">
        <v>0</v>
      </c>
      <c r="M10" s="17" t="b">
        <v>0</v>
      </c>
      <c r="N10" s="17" t="b">
        <v>0</v>
      </c>
      <c r="O10" s="17" t="b">
        <v>0</v>
      </c>
      <c r="P10" s="17" t="b">
        <v>0</v>
      </c>
      <c r="Q10" s="18" t="b">
        <v>0</v>
      </c>
      <c r="R10" s="8" t="b">
        <v>0</v>
      </c>
      <c r="S10" s="4" t="b">
        <v>0</v>
      </c>
      <c r="T10" s="4" t="b">
        <v>0</v>
      </c>
      <c r="U10" s="4" t="b">
        <v>0</v>
      </c>
      <c r="V10" s="4" t="b">
        <v>0</v>
      </c>
      <c r="W10" s="4" t="b">
        <v>0</v>
      </c>
      <c r="X10" s="9" t="b">
        <v>0</v>
      </c>
      <c r="Y10" s="16" t="b">
        <v>0</v>
      </c>
      <c r="Z10" s="17" t="b">
        <v>0</v>
      </c>
      <c r="AA10" s="17" t="b">
        <v>0</v>
      </c>
      <c r="AB10" s="17" t="b">
        <v>0</v>
      </c>
      <c r="AC10" s="17" t="b">
        <v>0</v>
      </c>
      <c r="AD10" s="17" t="b">
        <v>0</v>
      </c>
      <c r="AE10" s="18" t="b">
        <v>0</v>
      </c>
      <c r="AF10" s="4" t="b">
        <v>0</v>
      </c>
      <c r="AG10" s="4" t="b">
        <v>0</v>
      </c>
      <c r="AH10" s="9" t="b">
        <v>0</v>
      </c>
      <c r="AJ10" s="23">
        <f t="shared" ref="AJ10:AJ15" si="0">COUNTA($D$8:$AH$8)</f>
        <v>31</v>
      </c>
      <c r="AK10" s="23">
        <f t="shared" ref="AK10:AK15" si="1">COUNTIF(D10:AH10, TRUE)</f>
        <v>0</v>
      </c>
      <c r="AL10" s="24">
        <f t="shared" ref="AL10:AL15" si="2">AK10/AJ10</f>
        <v>0</v>
      </c>
    </row>
    <row r="11" spans="1:39" ht="22.5" customHeight="1" x14ac:dyDescent="0.25">
      <c r="A11" s="37"/>
      <c r="C11" s="77" t="s">
        <v>16</v>
      </c>
      <c r="D11" s="8" t="b">
        <v>0</v>
      </c>
      <c r="E11" s="4" t="b">
        <v>0</v>
      </c>
      <c r="F11" s="4" t="b">
        <v>0</v>
      </c>
      <c r="G11" s="4" t="b">
        <v>0</v>
      </c>
      <c r="H11" s="4" t="b">
        <v>0</v>
      </c>
      <c r="I11" s="4" t="b">
        <v>0</v>
      </c>
      <c r="J11" s="9" t="b">
        <v>0</v>
      </c>
      <c r="K11" s="16" t="b">
        <v>0</v>
      </c>
      <c r="L11" s="17" t="b">
        <v>0</v>
      </c>
      <c r="M11" s="17" t="b">
        <v>0</v>
      </c>
      <c r="N11" s="17" t="b">
        <v>0</v>
      </c>
      <c r="O11" s="17" t="b">
        <v>0</v>
      </c>
      <c r="P11" s="17" t="b">
        <v>0</v>
      </c>
      <c r="Q11" s="18" t="b">
        <v>0</v>
      </c>
      <c r="R11" s="8" t="b">
        <v>0</v>
      </c>
      <c r="S11" s="4" t="b">
        <v>0</v>
      </c>
      <c r="T11" s="4" t="b">
        <v>0</v>
      </c>
      <c r="U11" s="4" t="b">
        <v>0</v>
      </c>
      <c r="V11" s="4" t="b">
        <v>0</v>
      </c>
      <c r="W11" s="4" t="b">
        <v>0</v>
      </c>
      <c r="X11" s="9" t="b">
        <v>0</v>
      </c>
      <c r="Y11" s="16" t="b">
        <v>0</v>
      </c>
      <c r="Z11" s="17" t="b">
        <v>0</v>
      </c>
      <c r="AA11" s="17" t="b">
        <v>0</v>
      </c>
      <c r="AB11" s="17" t="b">
        <v>0</v>
      </c>
      <c r="AC11" s="17" t="b">
        <v>0</v>
      </c>
      <c r="AD11" s="17" t="b">
        <v>0</v>
      </c>
      <c r="AE11" s="18" t="b">
        <v>0</v>
      </c>
      <c r="AF11" s="4" t="b">
        <v>0</v>
      </c>
      <c r="AG11" s="4" t="b">
        <v>0</v>
      </c>
      <c r="AH11" s="9" t="b">
        <v>0</v>
      </c>
      <c r="AJ11" s="23">
        <f t="shared" si="0"/>
        <v>31</v>
      </c>
      <c r="AK11" s="23">
        <f t="shared" si="1"/>
        <v>0</v>
      </c>
      <c r="AL11" s="24">
        <f t="shared" si="2"/>
        <v>0</v>
      </c>
    </row>
    <row r="12" spans="1:39" ht="22.5" customHeight="1" x14ac:dyDescent="0.25">
      <c r="A12" s="37"/>
      <c r="C12" s="77" t="s">
        <v>17</v>
      </c>
      <c r="D12" s="8" t="b">
        <v>0</v>
      </c>
      <c r="E12" s="4" t="b">
        <v>0</v>
      </c>
      <c r="F12" s="4" t="b">
        <v>0</v>
      </c>
      <c r="G12" s="4" t="b">
        <v>0</v>
      </c>
      <c r="H12" s="4" t="b">
        <v>0</v>
      </c>
      <c r="I12" s="4" t="b">
        <v>0</v>
      </c>
      <c r="J12" s="9" t="b">
        <v>0</v>
      </c>
      <c r="K12" s="16" t="b">
        <v>0</v>
      </c>
      <c r="L12" s="17" t="b">
        <v>0</v>
      </c>
      <c r="M12" s="17" t="b">
        <v>0</v>
      </c>
      <c r="N12" s="17" t="b">
        <v>0</v>
      </c>
      <c r="O12" s="17" t="b">
        <v>0</v>
      </c>
      <c r="P12" s="17" t="b">
        <v>0</v>
      </c>
      <c r="Q12" s="18" t="b">
        <v>0</v>
      </c>
      <c r="R12" s="8" t="b">
        <v>0</v>
      </c>
      <c r="S12" s="4" t="b">
        <v>0</v>
      </c>
      <c r="T12" s="4" t="b">
        <v>0</v>
      </c>
      <c r="U12" s="4" t="b">
        <v>0</v>
      </c>
      <c r="V12" s="4" t="b">
        <v>0</v>
      </c>
      <c r="W12" s="4" t="b">
        <v>0</v>
      </c>
      <c r="X12" s="9" t="b">
        <v>0</v>
      </c>
      <c r="Y12" s="16" t="b">
        <v>0</v>
      </c>
      <c r="Z12" s="17" t="b">
        <v>0</v>
      </c>
      <c r="AA12" s="17" t="b">
        <v>0</v>
      </c>
      <c r="AB12" s="17" t="b">
        <v>0</v>
      </c>
      <c r="AC12" s="17" t="b">
        <v>0</v>
      </c>
      <c r="AD12" s="17" t="b">
        <v>0</v>
      </c>
      <c r="AE12" s="18" t="b">
        <v>0</v>
      </c>
      <c r="AF12" s="4" t="b">
        <v>0</v>
      </c>
      <c r="AG12" s="4" t="b">
        <v>0</v>
      </c>
      <c r="AH12" s="9" t="b">
        <v>0</v>
      </c>
      <c r="AJ12" s="23">
        <f t="shared" si="0"/>
        <v>31</v>
      </c>
      <c r="AK12" s="23">
        <f t="shared" si="1"/>
        <v>0</v>
      </c>
      <c r="AL12" s="24">
        <f t="shared" si="2"/>
        <v>0</v>
      </c>
    </row>
    <row r="13" spans="1:39" ht="22.5" customHeight="1" x14ac:dyDescent="0.25">
      <c r="A13" s="37"/>
      <c r="C13" s="77" t="s">
        <v>19</v>
      </c>
      <c r="D13" s="8" t="b">
        <v>0</v>
      </c>
      <c r="E13" s="4" t="b">
        <v>0</v>
      </c>
      <c r="F13" s="4" t="b">
        <v>0</v>
      </c>
      <c r="G13" s="4" t="b">
        <v>0</v>
      </c>
      <c r="H13" s="4" t="b">
        <v>0</v>
      </c>
      <c r="I13" s="4" t="b">
        <v>0</v>
      </c>
      <c r="J13" s="9" t="b">
        <v>0</v>
      </c>
      <c r="K13" s="16" t="b">
        <v>0</v>
      </c>
      <c r="L13" s="17" t="b">
        <v>0</v>
      </c>
      <c r="M13" s="17" t="b">
        <v>0</v>
      </c>
      <c r="N13" s="17" t="b">
        <v>0</v>
      </c>
      <c r="O13" s="17" t="b">
        <v>0</v>
      </c>
      <c r="P13" s="17" t="b">
        <v>0</v>
      </c>
      <c r="Q13" s="18" t="b">
        <v>0</v>
      </c>
      <c r="R13" s="8" t="b">
        <v>0</v>
      </c>
      <c r="S13" s="4" t="b">
        <v>0</v>
      </c>
      <c r="T13" s="4" t="b">
        <v>0</v>
      </c>
      <c r="U13" s="4" t="b">
        <v>0</v>
      </c>
      <c r="V13" s="4" t="b">
        <v>0</v>
      </c>
      <c r="W13" s="4" t="b">
        <v>0</v>
      </c>
      <c r="X13" s="9" t="b">
        <v>0</v>
      </c>
      <c r="Y13" s="16" t="b">
        <v>0</v>
      </c>
      <c r="Z13" s="17" t="b">
        <v>0</v>
      </c>
      <c r="AA13" s="17" t="b">
        <v>0</v>
      </c>
      <c r="AB13" s="17" t="b">
        <v>0</v>
      </c>
      <c r="AC13" s="17" t="b">
        <v>0</v>
      </c>
      <c r="AD13" s="17" t="b">
        <v>0</v>
      </c>
      <c r="AE13" s="18" t="b">
        <v>0</v>
      </c>
      <c r="AF13" s="4" t="b">
        <v>0</v>
      </c>
      <c r="AG13" s="4" t="b">
        <v>0</v>
      </c>
      <c r="AH13" s="9" t="b">
        <v>0</v>
      </c>
      <c r="AJ13" s="23">
        <f t="shared" si="0"/>
        <v>31</v>
      </c>
      <c r="AK13" s="23">
        <f t="shared" si="1"/>
        <v>0</v>
      </c>
      <c r="AL13" s="24">
        <f t="shared" si="2"/>
        <v>0</v>
      </c>
    </row>
    <row r="14" spans="1:39" ht="22.5" customHeight="1" x14ac:dyDescent="0.25">
      <c r="A14" s="37"/>
      <c r="C14" s="77" t="s">
        <v>20</v>
      </c>
      <c r="D14" s="8" t="b">
        <v>0</v>
      </c>
      <c r="E14" s="4" t="b">
        <v>0</v>
      </c>
      <c r="F14" s="4" t="b">
        <v>0</v>
      </c>
      <c r="G14" s="4" t="b">
        <v>0</v>
      </c>
      <c r="H14" s="4" t="b">
        <v>0</v>
      </c>
      <c r="I14" s="4" t="b">
        <v>0</v>
      </c>
      <c r="J14" s="9" t="b">
        <v>0</v>
      </c>
      <c r="K14" s="16" t="b">
        <v>0</v>
      </c>
      <c r="L14" s="17" t="b">
        <v>0</v>
      </c>
      <c r="M14" s="17" t="b">
        <v>0</v>
      </c>
      <c r="N14" s="17" t="b">
        <v>0</v>
      </c>
      <c r="O14" s="17" t="b">
        <v>0</v>
      </c>
      <c r="P14" s="17" t="b">
        <v>0</v>
      </c>
      <c r="Q14" s="18" t="b">
        <v>0</v>
      </c>
      <c r="R14" s="8" t="b">
        <v>0</v>
      </c>
      <c r="S14" s="4" t="b">
        <v>0</v>
      </c>
      <c r="T14" s="4" t="b">
        <v>0</v>
      </c>
      <c r="U14" s="4" t="b">
        <v>0</v>
      </c>
      <c r="V14" s="4" t="b">
        <v>0</v>
      </c>
      <c r="W14" s="4" t="b">
        <v>0</v>
      </c>
      <c r="X14" s="9" t="b">
        <v>0</v>
      </c>
      <c r="Y14" s="16" t="b">
        <v>0</v>
      </c>
      <c r="Z14" s="17" t="b">
        <v>0</v>
      </c>
      <c r="AA14" s="17" t="b">
        <v>0</v>
      </c>
      <c r="AB14" s="17" t="b">
        <v>0</v>
      </c>
      <c r="AC14" s="17" t="b">
        <v>0</v>
      </c>
      <c r="AD14" s="17" t="b">
        <v>0</v>
      </c>
      <c r="AE14" s="18" t="b">
        <v>0</v>
      </c>
      <c r="AF14" s="4" t="b">
        <v>0</v>
      </c>
      <c r="AG14" s="4" t="b">
        <v>0</v>
      </c>
      <c r="AH14" s="9" t="b">
        <v>0</v>
      </c>
      <c r="AJ14" s="23">
        <f t="shared" si="0"/>
        <v>31</v>
      </c>
      <c r="AK14" s="23">
        <f t="shared" si="1"/>
        <v>0</v>
      </c>
      <c r="AL14" s="24">
        <f t="shared" si="2"/>
        <v>0</v>
      </c>
    </row>
    <row r="15" spans="1:39" ht="22.5" customHeight="1" x14ac:dyDescent="0.25">
      <c r="C15" s="78" t="s">
        <v>18</v>
      </c>
      <c r="D15" s="10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2" t="b">
        <v>0</v>
      </c>
      <c r="K15" s="19" t="b">
        <v>0</v>
      </c>
      <c r="L15" s="20" t="b">
        <v>0</v>
      </c>
      <c r="M15" s="20" t="b">
        <v>0</v>
      </c>
      <c r="N15" s="20" t="b">
        <v>0</v>
      </c>
      <c r="O15" s="20" t="b">
        <v>0</v>
      </c>
      <c r="P15" s="20" t="b">
        <v>0</v>
      </c>
      <c r="Q15" s="21" t="b">
        <v>0</v>
      </c>
      <c r="R15" s="10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2" t="b">
        <v>0</v>
      </c>
      <c r="Y15" s="19" t="b">
        <v>0</v>
      </c>
      <c r="Z15" s="20" t="b">
        <v>0</v>
      </c>
      <c r="AA15" s="20" t="b">
        <v>0</v>
      </c>
      <c r="AB15" s="20" t="b">
        <v>0</v>
      </c>
      <c r="AC15" s="20" t="b">
        <v>0</v>
      </c>
      <c r="AD15" s="20" t="b">
        <v>0</v>
      </c>
      <c r="AE15" s="21" t="b">
        <v>0</v>
      </c>
      <c r="AF15" s="4" t="b">
        <v>0</v>
      </c>
      <c r="AG15" s="4" t="b">
        <v>0</v>
      </c>
      <c r="AH15" s="9" t="b">
        <v>0</v>
      </c>
      <c r="AJ15" s="23">
        <f t="shared" si="0"/>
        <v>31</v>
      </c>
      <c r="AK15" s="23">
        <f t="shared" si="1"/>
        <v>0</v>
      </c>
      <c r="AL15" s="24">
        <f t="shared" si="2"/>
        <v>0</v>
      </c>
    </row>
    <row r="17" spans="3:35" ht="22.5" customHeight="1" x14ac:dyDescent="0.25">
      <c r="C17" s="43"/>
      <c r="D17" s="125" t="s">
        <v>42</v>
      </c>
      <c r="E17" s="125"/>
      <c r="F17" s="125"/>
      <c r="G17" s="125"/>
      <c r="H17" s="125"/>
      <c r="I17" s="125"/>
      <c r="J17" s="125"/>
      <c r="K17" s="44"/>
      <c r="L17" s="44"/>
      <c r="M17" s="44"/>
      <c r="N17" s="45" t="s">
        <v>21</v>
      </c>
      <c r="O17" s="44"/>
      <c r="P17" s="44"/>
      <c r="Q17" s="44"/>
      <c r="R17" s="44"/>
      <c r="S17" s="45" t="s">
        <v>23</v>
      </c>
      <c r="T17" s="44"/>
      <c r="U17" s="46"/>
      <c r="V17" s="44"/>
      <c r="W17" s="44"/>
      <c r="X17" s="45" t="s">
        <v>27</v>
      </c>
      <c r="Y17" s="44"/>
      <c r="Z17" s="44"/>
      <c r="AA17" s="44"/>
      <c r="AB17" s="45" t="s">
        <v>28</v>
      </c>
      <c r="AC17" s="44"/>
      <c r="AD17" s="44"/>
      <c r="AE17" s="47"/>
      <c r="AF17" s="40"/>
      <c r="AG17" s="40"/>
      <c r="AH17" s="40"/>
    </row>
    <row r="18" spans="3:35" ht="22.5" customHeight="1" x14ac:dyDescent="0.25">
      <c r="C18" s="48"/>
      <c r="D18" s="126"/>
      <c r="E18" s="126"/>
      <c r="F18" s="126"/>
      <c r="G18" s="126"/>
      <c r="H18" s="126"/>
      <c r="I18" s="126"/>
      <c r="J18" s="126"/>
      <c r="K18" s="49"/>
      <c r="L18" s="49"/>
      <c r="M18" s="49"/>
      <c r="N18" s="50">
        <f>COUNTA(C23:C29)</f>
        <v>7</v>
      </c>
      <c r="O18" s="49"/>
      <c r="P18" s="49"/>
      <c r="Q18" s="49"/>
      <c r="R18" s="49"/>
      <c r="S18" s="50">
        <f>COUNTIF(D23:AE29,TRUE)</f>
        <v>0</v>
      </c>
      <c r="T18" s="49"/>
      <c r="U18" s="51"/>
      <c r="V18" s="49"/>
      <c r="W18" s="127">
        <f>COUNTIF(D23:AE29, TRUE)/(COUNTA(D22:AE22)*COUNTA(C23:C29))</f>
        <v>0</v>
      </c>
      <c r="X18" s="127"/>
      <c r="Y18" s="127"/>
      <c r="Z18" s="49"/>
      <c r="AA18" s="49"/>
      <c r="AB18" s="52">
        <f>COUNTIF(D23:AE29, TRUE)/(COUNTA(D22:AE22)*COUNTA(C23:C29))</f>
        <v>0</v>
      </c>
      <c r="AC18" s="49"/>
      <c r="AD18" s="49"/>
      <c r="AE18" s="53"/>
      <c r="AF18" s="40"/>
      <c r="AG18" s="40"/>
      <c r="AH18" s="40"/>
    </row>
    <row r="20" spans="3:35" ht="22.5" customHeight="1" x14ac:dyDescent="0.25">
      <c r="C20" s="128" t="s">
        <v>1</v>
      </c>
      <c r="D20" s="129" t="s">
        <v>9</v>
      </c>
      <c r="E20" s="129"/>
      <c r="F20" s="129"/>
      <c r="G20" s="129"/>
      <c r="H20" s="129"/>
      <c r="I20" s="129"/>
      <c r="J20" s="129"/>
      <c r="K20" s="130" t="s">
        <v>10</v>
      </c>
      <c r="L20" s="130"/>
      <c r="M20" s="130"/>
      <c r="N20" s="130"/>
      <c r="O20" s="130"/>
      <c r="P20" s="130"/>
      <c r="Q20" s="130"/>
      <c r="R20" s="129" t="s">
        <v>11</v>
      </c>
      <c r="S20" s="129"/>
      <c r="T20" s="129"/>
      <c r="U20" s="129"/>
      <c r="V20" s="129"/>
      <c r="W20" s="129"/>
      <c r="X20" s="129"/>
      <c r="Y20" s="130" t="s">
        <v>12</v>
      </c>
      <c r="Z20" s="130"/>
      <c r="AA20" s="130"/>
      <c r="AB20" s="130"/>
      <c r="AC20" s="130"/>
      <c r="AD20" s="130"/>
      <c r="AE20" s="130"/>
      <c r="AG20" s="117" t="s">
        <v>24</v>
      </c>
      <c r="AH20" s="117"/>
      <c r="AI20" s="117"/>
    </row>
    <row r="21" spans="3:35" ht="22.5" customHeight="1" x14ac:dyDescent="0.25">
      <c r="C21" s="128"/>
      <c r="D21" s="54" t="s">
        <v>3</v>
      </c>
      <c r="E21" s="54" t="s">
        <v>4</v>
      </c>
      <c r="F21" s="54" t="s">
        <v>5</v>
      </c>
      <c r="G21" s="54" t="s">
        <v>6</v>
      </c>
      <c r="H21" s="54" t="s">
        <v>7</v>
      </c>
      <c r="I21" s="54" t="s">
        <v>8</v>
      </c>
      <c r="J21" s="54" t="s">
        <v>2</v>
      </c>
      <c r="K21" s="64" t="s">
        <v>3</v>
      </c>
      <c r="L21" s="64" t="s">
        <v>4</v>
      </c>
      <c r="M21" s="64" t="s">
        <v>5</v>
      </c>
      <c r="N21" s="64" t="s">
        <v>6</v>
      </c>
      <c r="O21" s="64" t="s">
        <v>7</v>
      </c>
      <c r="P21" s="64" t="s">
        <v>8</v>
      </c>
      <c r="Q21" s="64" t="s">
        <v>2</v>
      </c>
      <c r="R21" s="54" t="s">
        <v>3</v>
      </c>
      <c r="S21" s="54" t="s">
        <v>4</v>
      </c>
      <c r="T21" s="54" t="s">
        <v>5</v>
      </c>
      <c r="U21" s="54" t="s">
        <v>6</v>
      </c>
      <c r="V21" s="54" t="s">
        <v>7</v>
      </c>
      <c r="W21" s="54" t="s">
        <v>8</v>
      </c>
      <c r="X21" s="54" t="s">
        <v>2</v>
      </c>
      <c r="Y21" s="64" t="s">
        <v>3</v>
      </c>
      <c r="Z21" s="64" t="s">
        <v>4</v>
      </c>
      <c r="AA21" s="64" t="s">
        <v>5</v>
      </c>
      <c r="AB21" s="64" t="s">
        <v>6</v>
      </c>
      <c r="AC21" s="64" t="s">
        <v>7</v>
      </c>
      <c r="AD21" s="64" t="s">
        <v>8</v>
      </c>
      <c r="AE21" s="64" t="s">
        <v>2</v>
      </c>
      <c r="AG21" s="117"/>
      <c r="AH21" s="117"/>
      <c r="AI21" s="117"/>
    </row>
    <row r="22" spans="3:35" ht="22.5" customHeight="1" x14ac:dyDescent="0.25">
      <c r="C22" s="128"/>
      <c r="D22" s="54">
        <v>1</v>
      </c>
      <c r="E22" s="54">
        <v>2</v>
      </c>
      <c r="F22" s="54">
        <v>3</v>
      </c>
      <c r="G22" s="54">
        <v>4</v>
      </c>
      <c r="H22" s="54">
        <v>5</v>
      </c>
      <c r="I22" s="54">
        <v>6</v>
      </c>
      <c r="J22" s="54">
        <v>7</v>
      </c>
      <c r="K22" s="64">
        <v>8</v>
      </c>
      <c r="L22" s="64">
        <v>9</v>
      </c>
      <c r="M22" s="64">
        <v>10</v>
      </c>
      <c r="N22" s="64">
        <v>11</v>
      </c>
      <c r="O22" s="64">
        <v>12</v>
      </c>
      <c r="P22" s="64">
        <v>13</v>
      </c>
      <c r="Q22" s="64">
        <v>14</v>
      </c>
      <c r="R22" s="54">
        <v>15</v>
      </c>
      <c r="S22" s="54">
        <v>16</v>
      </c>
      <c r="T22" s="54">
        <v>17</v>
      </c>
      <c r="U22" s="54">
        <v>18</v>
      </c>
      <c r="V22" s="54">
        <v>19</v>
      </c>
      <c r="W22" s="54">
        <v>20</v>
      </c>
      <c r="X22" s="54">
        <v>21</v>
      </c>
      <c r="Y22" s="64">
        <v>22</v>
      </c>
      <c r="Z22" s="64">
        <v>23</v>
      </c>
      <c r="AA22" s="64">
        <v>24</v>
      </c>
      <c r="AB22" s="64">
        <v>25</v>
      </c>
      <c r="AC22" s="64">
        <v>26</v>
      </c>
      <c r="AD22" s="64">
        <v>27</v>
      </c>
      <c r="AE22" s="64">
        <v>28</v>
      </c>
      <c r="AG22" s="75" t="s">
        <v>25</v>
      </c>
      <c r="AH22" s="75" t="s">
        <v>26</v>
      </c>
      <c r="AI22" s="75" t="s">
        <v>27</v>
      </c>
    </row>
    <row r="23" spans="3:35" ht="22.5" customHeight="1" x14ac:dyDescent="0.25">
      <c r="C23" s="79" t="s">
        <v>14</v>
      </c>
      <c r="D23" s="55" t="b">
        <v>0</v>
      </c>
      <c r="E23" s="56" t="b">
        <v>0</v>
      </c>
      <c r="F23" s="56" t="b">
        <v>0</v>
      </c>
      <c r="G23" s="56" t="b">
        <v>0</v>
      </c>
      <c r="H23" s="56" t="b">
        <v>0</v>
      </c>
      <c r="I23" s="56" t="b">
        <v>0</v>
      </c>
      <c r="J23" s="57" t="b">
        <v>0</v>
      </c>
      <c r="K23" s="65" t="b">
        <v>0</v>
      </c>
      <c r="L23" s="66" t="b">
        <v>0</v>
      </c>
      <c r="M23" s="66" t="b">
        <v>0</v>
      </c>
      <c r="N23" s="66" t="b">
        <v>0</v>
      </c>
      <c r="O23" s="66" t="b">
        <v>0</v>
      </c>
      <c r="P23" s="66" t="b">
        <v>0</v>
      </c>
      <c r="Q23" s="67" t="b">
        <v>0</v>
      </c>
      <c r="R23" s="55" t="b">
        <v>0</v>
      </c>
      <c r="S23" s="56" t="b">
        <v>0</v>
      </c>
      <c r="T23" s="56" t="b">
        <v>0</v>
      </c>
      <c r="U23" s="56" t="b">
        <v>0</v>
      </c>
      <c r="V23" s="56" t="b">
        <v>0</v>
      </c>
      <c r="W23" s="56" t="b">
        <v>0</v>
      </c>
      <c r="X23" s="57" t="b">
        <v>0</v>
      </c>
      <c r="Y23" s="65" t="b">
        <v>0</v>
      </c>
      <c r="Z23" s="66" t="b">
        <v>0</v>
      </c>
      <c r="AA23" s="66" t="b">
        <v>0</v>
      </c>
      <c r="AB23" s="66" t="b">
        <v>0</v>
      </c>
      <c r="AC23" s="66" t="b">
        <v>0</v>
      </c>
      <c r="AD23" s="66" t="b">
        <v>0</v>
      </c>
      <c r="AE23" s="67" t="b">
        <v>0</v>
      </c>
      <c r="AG23" s="23">
        <f>COUNTA($D$22:$AE$22)</f>
        <v>28</v>
      </c>
      <c r="AH23" s="23">
        <f t="shared" ref="AH23:AH29" si="3">COUNTIF(D23:AE23, TRUE)</f>
        <v>0</v>
      </c>
      <c r="AI23" s="24">
        <f>AH23/AG23</f>
        <v>0</v>
      </c>
    </row>
    <row r="24" spans="3:35" ht="22.5" customHeight="1" x14ac:dyDescent="0.25">
      <c r="C24" s="80" t="s">
        <v>15</v>
      </c>
      <c r="D24" s="58" t="b">
        <v>0</v>
      </c>
      <c r="E24" s="59" t="b">
        <v>0</v>
      </c>
      <c r="F24" s="59" t="b">
        <v>0</v>
      </c>
      <c r="G24" s="59" t="b">
        <v>0</v>
      </c>
      <c r="H24" s="59" t="b">
        <v>0</v>
      </c>
      <c r="I24" s="59" t="b">
        <v>0</v>
      </c>
      <c r="J24" s="60" t="b">
        <v>0</v>
      </c>
      <c r="K24" s="68" t="b">
        <v>0</v>
      </c>
      <c r="L24" s="69" t="b">
        <v>0</v>
      </c>
      <c r="M24" s="69" t="b">
        <v>0</v>
      </c>
      <c r="N24" s="69" t="b">
        <v>0</v>
      </c>
      <c r="O24" s="69" t="b">
        <v>0</v>
      </c>
      <c r="P24" s="69" t="b">
        <v>0</v>
      </c>
      <c r="Q24" s="70" t="b">
        <v>0</v>
      </c>
      <c r="R24" s="58" t="b">
        <v>0</v>
      </c>
      <c r="S24" s="59" t="b">
        <v>0</v>
      </c>
      <c r="T24" s="59" t="b">
        <v>0</v>
      </c>
      <c r="U24" s="59" t="b">
        <v>0</v>
      </c>
      <c r="V24" s="59" t="b">
        <v>0</v>
      </c>
      <c r="W24" s="59" t="b">
        <v>0</v>
      </c>
      <c r="X24" s="60" t="b">
        <v>0</v>
      </c>
      <c r="Y24" s="68" t="b">
        <v>0</v>
      </c>
      <c r="Z24" s="69" t="b">
        <v>0</v>
      </c>
      <c r="AA24" s="69" t="b">
        <v>0</v>
      </c>
      <c r="AB24" s="69" t="b">
        <v>0</v>
      </c>
      <c r="AC24" s="69" t="b">
        <v>0</v>
      </c>
      <c r="AD24" s="69" t="b">
        <v>0</v>
      </c>
      <c r="AE24" s="70" t="b">
        <v>0</v>
      </c>
      <c r="AG24" s="23">
        <f t="shared" ref="AG24:AG29" si="4">COUNTA($D$22:$AE$22)</f>
        <v>28</v>
      </c>
      <c r="AH24" s="23">
        <f t="shared" si="3"/>
        <v>0</v>
      </c>
      <c r="AI24" s="24">
        <f t="shared" ref="AI24:AI29" si="5">AH24/AG24</f>
        <v>0</v>
      </c>
    </row>
    <row r="25" spans="3:35" ht="22.5" customHeight="1" x14ac:dyDescent="0.25">
      <c r="C25" s="80" t="s">
        <v>16</v>
      </c>
      <c r="D25" s="58" t="b">
        <v>0</v>
      </c>
      <c r="E25" s="59" t="b">
        <v>0</v>
      </c>
      <c r="F25" s="59" t="b">
        <v>0</v>
      </c>
      <c r="G25" s="59" t="b">
        <v>0</v>
      </c>
      <c r="H25" s="59" t="b">
        <v>0</v>
      </c>
      <c r="I25" s="59" t="b">
        <v>0</v>
      </c>
      <c r="J25" s="60" t="b">
        <v>0</v>
      </c>
      <c r="K25" s="68" t="b">
        <v>0</v>
      </c>
      <c r="L25" s="69" t="b">
        <v>0</v>
      </c>
      <c r="M25" s="69" t="b">
        <v>0</v>
      </c>
      <c r="N25" s="69" t="b">
        <v>0</v>
      </c>
      <c r="O25" s="69" t="b">
        <v>0</v>
      </c>
      <c r="P25" s="69" t="b">
        <v>0</v>
      </c>
      <c r="Q25" s="70" t="b">
        <v>0</v>
      </c>
      <c r="R25" s="58" t="b">
        <v>0</v>
      </c>
      <c r="S25" s="59" t="b">
        <v>0</v>
      </c>
      <c r="T25" s="59" t="b">
        <v>0</v>
      </c>
      <c r="U25" s="59" t="b">
        <v>0</v>
      </c>
      <c r="V25" s="59" t="b">
        <v>0</v>
      </c>
      <c r="W25" s="59" t="b">
        <v>0</v>
      </c>
      <c r="X25" s="60" t="b">
        <v>0</v>
      </c>
      <c r="Y25" s="68" t="b">
        <v>0</v>
      </c>
      <c r="Z25" s="69" t="b">
        <v>0</v>
      </c>
      <c r="AA25" s="69" t="b">
        <v>0</v>
      </c>
      <c r="AB25" s="69" t="b">
        <v>0</v>
      </c>
      <c r="AC25" s="69" t="b">
        <v>0</v>
      </c>
      <c r="AD25" s="69" t="b">
        <v>0</v>
      </c>
      <c r="AE25" s="70" t="b">
        <v>0</v>
      </c>
      <c r="AG25" s="23">
        <f t="shared" si="4"/>
        <v>28</v>
      </c>
      <c r="AH25" s="23">
        <f t="shared" si="3"/>
        <v>0</v>
      </c>
      <c r="AI25" s="24">
        <f t="shared" si="5"/>
        <v>0</v>
      </c>
    </row>
    <row r="26" spans="3:35" ht="22.5" customHeight="1" x14ac:dyDescent="0.25">
      <c r="C26" s="80" t="s">
        <v>17</v>
      </c>
      <c r="D26" s="58" t="b">
        <v>0</v>
      </c>
      <c r="E26" s="59" t="b">
        <v>0</v>
      </c>
      <c r="F26" s="59" t="b">
        <v>0</v>
      </c>
      <c r="G26" s="59" t="b">
        <v>0</v>
      </c>
      <c r="H26" s="59" t="b">
        <v>0</v>
      </c>
      <c r="I26" s="59" t="b">
        <v>0</v>
      </c>
      <c r="J26" s="60" t="b">
        <v>0</v>
      </c>
      <c r="K26" s="68" t="b">
        <v>0</v>
      </c>
      <c r="L26" s="69" t="b">
        <v>0</v>
      </c>
      <c r="M26" s="69" t="b">
        <v>0</v>
      </c>
      <c r="N26" s="69" t="b">
        <v>0</v>
      </c>
      <c r="O26" s="69" t="b">
        <v>0</v>
      </c>
      <c r="P26" s="69" t="b">
        <v>0</v>
      </c>
      <c r="Q26" s="70" t="b">
        <v>0</v>
      </c>
      <c r="R26" s="58" t="b">
        <v>0</v>
      </c>
      <c r="S26" s="59" t="b">
        <v>0</v>
      </c>
      <c r="T26" s="59" t="b">
        <v>0</v>
      </c>
      <c r="U26" s="59" t="b">
        <v>0</v>
      </c>
      <c r="V26" s="59" t="b">
        <v>0</v>
      </c>
      <c r="W26" s="59" t="b">
        <v>0</v>
      </c>
      <c r="X26" s="60" t="b">
        <v>0</v>
      </c>
      <c r="Y26" s="68" t="b">
        <v>0</v>
      </c>
      <c r="Z26" s="69" t="b">
        <v>0</v>
      </c>
      <c r="AA26" s="69" t="b">
        <v>0</v>
      </c>
      <c r="AB26" s="69" t="b">
        <v>0</v>
      </c>
      <c r="AC26" s="69" t="b">
        <v>0</v>
      </c>
      <c r="AD26" s="69" t="b">
        <v>0</v>
      </c>
      <c r="AE26" s="70" t="b">
        <v>0</v>
      </c>
      <c r="AG26" s="23">
        <f t="shared" si="4"/>
        <v>28</v>
      </c>
      <c r="AH26" s="23">
        <f t="shared" si="3"/>
        <v>0</v>
      </c>
      <c r="AI26" s="24">
        <f t="shared" si="5"/>
        <v>0</v>
      </c>
    </row>
    <row r="27" spans="3:35" ht="22.5" customHeight="1" x14ac:dyDescent="0.25">
      <c r="C27" s="80" t="s">
        <v>19</v>
      </c>
      <c r="D27" s="58" t="b">
        <v>0</v>
      </c>
      <c r="E27" s="59" t="b">
        <v>0</v>
      </c>
      <c r="F27" s="59" t="b">
        <v>0</v>
      </c>
      <c r="G27" s="59" t="b">
        <v>0</v>
      </c>
      <c r="H27" s="59" t="b">
        <v>0</v>
      </c>
      <c r="I27" s="59" t="b">
        <v>0</v>
      </c>
      <c r="J27" s="60" t="b">
        <v>0</v>
      </c>
      <c r="K27" s="68" t="b">
        <v>0</v>
      </c>
      <c r="L27" s="69" t="b">
        <v>0</v>
      </c>
      <c r="M27" s="69" t="b">
        <v>0</v>
      </c>
      <c r="N27" s="69" t="b">
        <v>0</v>
      </c>
      <c r="O27" s="69" t="b">
        <v>0</v>
      </c>
      <c r="P27" s="69" t="b">
        <v>0</v>
      </c>
      <c r="Q27" s="70" t="b">
        <v>0</v>
      </c>
      <c r="R27" s="58" t="b">
        <v>0</v>
      </c>
      <c r="S27" s="59" t="b">
        <v>0</v>
      </c>
      <c r="T27" s="59" t="b">
        <v>0</v>
      </c>
      <c r="U27" s="59" t="b">
        <v>0</v>
      </c>
      <c r="V27" s="59" t="b">
        <v>0</v>
      </c>
      <c r="W27" s="59" t="b">
        <v>0</v>
      </c>
      <c r="X27" s="60" t="b">
        <v>0</v>
      </c>
      <c r="Y27" s="68" t="b">
        <v>0</v>
      </c>
      <c r="Z27" s="69" t="b">
        <v>0</v>
      </c>
      <c r="AA27" s="69" t="b">
        <v>0</v>
      </c>
      <c r="AB27" s="69" t="b">
        <v>0</v>
      </c>
      <c r="AC27" s="69" t="b">
        <v>0</v>
      </c>
      <c r="AD27" s="69" t="b">
        <v>0</v>
      </c>
      <c r="AE27" s="70" t="b">
        <v>0</v>
      </c>
      <c r="AG27" s="23">
        <f t="shared" si="4"/>
        <v>28</v>
      </c>
      <c r="AH27" s="23">
        <f t="shared" si="3"/>
        <v>0</v>
      </c>
      <c r="AI27" s="24">
        <f t="shared" si="5"/>
        <v>0</v>
      </c>
    </row>
    <row r="28" spans="3:35" ht="22.5" customHeight="1" x14ac:dyDescent="0.25">
      <c r="C28" s="80" t="s">
        <v>20</v>
      </c>
      <c r="D28" s="58" t="b">
        <v>0</v>
      </c>
      <c r="E28" s="59" t="b">
        <v>0</v>
      </c>
      <c r="F28" s="59" t="b">
        <v>0</v>
      </c>
      <c r="G28" s="59" t="b">
        <v>0</v>
      </c>
      <c r="H28" s="59" t="b">
        <v>0</v>
      </c>
      <c r="I28" s="59" t="b">
        <v>0</v>
      </c>
      <c r="J28" s="60" t="b">
        <v>0</v>
      </c>
      <c r="K28" s="68" t="b">
        <v>0</v>
      </c>
      <c r="L28" s="69" t="b">
        <v>0</v>
      </c>
      <c r="M28" s="69" t="b">
        <v>0</v>
      </c>
      <c r="N28" s="69" t="b">
        <v>0</v>
      </c>
      <c r="O28" s="69" t="b">
        <v>0</v>
      </c>
      <c r="P28" s="69" t="b">
        <v>0</v>
      </c>
      <c r="Q28" s="70" t="b">
        <v>0</v>
      </c>
      <c r="R28" s="58" t="b">
        <v>0</v>
      </c>
      <c r="S28" s="59" t="b">
        <v>0</v>
      </c>
      <c r="T28" s="59" t="b">
        <v>0</v>
      </c>
      <c r="U28" s="59" t="b">
        <v>0</v>
      </c>
      <c r="V28" s="59" t="b">
        <v>0</v>
      </c>
      <c r="W28" s="59" t="b">
        <v>0</v>
      </c>
      <c r="X28" s="60" t="b">
        <v>0</v>
      </c>
      <c r="Y28" s="68" t="b">
        <v>0</v>
      </c>
      <c r="Z28" s="69" t="b">
        <v>0</v>
      </c>
      <c r="AA28" s="69" t="b">
        <v>0</v>
      </c>
      <c r="AB28" s="69" t="b">
        <v>0</v>
      </c>
      <c r="AC28" s="69" t="b">
        <v>0</v>
      </c>
      <c r="AD28" s="69" t="b">
        <v>0</v>
      </c>
      <c r="AE28" s="70" t="b">
        <v>0</v>
      </c>
      <c r="AG28" s="23">
        <f t="shared" si="4"/>
        <v>28</v>
      </c>
      <c r="AH28" s="23">
        <f t="shared" si="3"/>
        <v>0</v>
      </c>
      <c r="AI28" s="24">
        <f t="shared" si="5"/>
        <v>0</v>
      </c>
    </row>
    <row r="29" spans="3:35" ht="22.5" customHeight="1" x14ac:dyDescent="0.25">
      <c r="C29" s="81" t="s">
        <v>18</v>
      </c>
      <c r="D29" s="61" t="b">
        <v>0</v>
      </c>
      <c r="E29" s="62" t="b">
        <v>0</v>
      </c>
      <c r="F29" s="62" t="b">
        <v>0</v>
      </c>
      <c r="G29" s="62" t="b">
        <v>0</v>
      </c>
      <c r="H29" s="62" t="b">
        <v>0</v>
      </c>
      <c r="I29" s="62" t="b">
        <v>0</v>
      </c>
      <c r="J29" s="63" t="b">
        <v>0</v>
      </c>
      <c r="K29" s="71" t="b">
        <v>0</v>
      </c>
      <c r="L29" s="72" t="b">
        <v>0</v>
      </c>
      <c r="M29" s="72" t="b">
        <v>0</v>
      </c>
      <c r="N29" s="72" t="b">
        <v>0</v>
      </c>
      <c r="O29" s="72" t="b">
        <v>0</v>
      </c>
      <c r="P29" s="72" t="b">
        <v>0</v>
      </c>
      <c r="Q29" s="73" t="b">
        <v>0</v>
      </c>
      <c r="R29" s="61" t="b">
        <v>0</v>
      </c>
      <c r="S29" s="62" t="b">
        <v>0</v>
      </c>
      <c r="T29" s="62" t="b">
        <v>0</v>
      </c>
      <c r="U29" s="62" t="b">
        <v>0</v>
      </c>
      <c r="V29" s="62" t="b">
        <v>0</v>
      </c>
      <c r="W29" s="62" t="b">
        <v>0</v>
      </c>
      <c r="X29" s="63" t="b">
        <v>0</v>
      </c>
      <c r="Y29" s="71" t="b">
        <v>0</v>
      </c>
      <c r="Z29" s="72" t="b">
        <v>0</v>
      </c>
      <c r="AA29" s="72" t="b">
        <v>0</v>
      </c>
      <c r="AB29" s="72" t="b">
        <v>0</v>
      </c>
      <c r="AC29" s="72" t="b">
        <v>0</v>
      </c>
      <c r="AD29" s="72" t="b">
        <v>0</v>
      </c>
      <c r="AE29" s="73" t="b">
        <v>0</v>
      </c>
      <c r="AG29" s="23">
        <f t="shared" si="4"/>
        <v>28</v>
      </c>
      <c r="AH29" s="23">
        <f t="shared" si="3"/>
        <v>0</v>
      </c>
      <c r="AI29" s="24">
        <f t="shared" si="5"/>
        <v>0</v>
      </c>
    </row>
    <row r="31" spans="3:35" ht="22.5" customHeight="1" x14ac:dyDescent="0.25">
      <c r="C31" s="82"/>
      <c r="D31" s="118" t="s">
        <v>43</v>
      </c>
      <c r="E31" s="118"/>
      <c r="F31" s="118"/>
      <c r="G31" s="118"/>
      <c r="H31" s="118"/>
      <c r="I31" s="118"/>
      <c r="J31" s="118"/>
      <c r="K31" s="83"/>
      <c r="L31" s="83"/>
      <c r="M31" s="83"/>
      <c r="N31" s="84" t="s">
        <v>21</v>
      </c>
      <c r="O31" s="83"/>
      <c r="P31" s="83"/>
      <c r="Q31" s="83"/>
      <c r="R31" s="83"/>
      <c r="S31" s="84" t="s">
        <v>23</v>
      </c>
      <c r="T31" s="83"/>
      <c r="U31" s="85"/>
      <c r="V31" s="83"/>
      <c r="W31" s="83"/>
      <c r="X31" s="84" t="s">
        <v>27</v>
      </c>
      <c r="Y31" s="83"/>
      <c r="Z31" s="83"/>
      <c r="AA31" s="83"/>
      <c r="AB31" s="84" t="s">
        <v>28</v>
      </c>
      <c r="AC31" s="83"/>
      <c r="AD31" s="83"/>
      <c r="AE31" s="83"/>
      <c r="AF31" s="83"/>
      <c r="AG31" s="83"/>
      <c r="AH31" s="86"/>
    </row>
    <row r="32" spans="3:35" ht="22.5" customHeight="1" x14ac:dyDescent="0.25">
      <c r="C32" s="87"/>
      <c r="D32" s="119"/>
      <c r="E32" s="119"/>
      <c r="F32" s="119"/>
      <c r="G32" s="119"/>
      <c r="H32" s="119"/>
      <c r="I32" s="119"/>
      <c r="J32" s="119"/>
      <c r="K32" s="88"/>
      <c r="L32" s="88"/>
      <c r="M32" s="88"/>
      <c r="N32" s="89">
        <f>COUNTA(C37:C43)</f>
        <v>7</v>
      </c>
      <c r="O32" s="88"/>
      <c r="P32" s="88"/>
      <c r="Q32" s="88"/>
      <c r="R32" s="88"/>
      <c r="S32" s="89">
        <f>COUNTIF(D37:AH43,TRUE)</f>
        <v>0</v>
      </c>
      <c r="T32" s="88"/>
      <c r="U32" s="90"/>
      <c r="V32" s="88"/>
      <c r="W32" s="120">
        <f>COUNTIF(D37:AH43, TRUE)/(COUNTA(D36:AH36)*COUNTA(C37:C43))</f>
        <v>0</v>
      </c>
      <c r="X32" s="120"/>
      <c r="Y32" s="120"/>
      <c r="Z32" s="88"/>
      <c r="AA32" s="88"/>
      <c r="AB32" s="91">
        <f>COUNTIF(D37:AH43, TRUE)/(COUNTA(D36:AH36)*COUNTA(C37:C43))</f>
        <v>0</v>
      </c>
      <c r="AC32" s="88"/>
      <c r="AD32" s="88"/>
      <c r="AE32" s="88"/>
      <c r="AF32" s="88"/>
      <c r="AG32" s="88"/>
      <c r="AH32" s="92"/>
    </row>
    <row r="34" spans="3:38" ht="22.5" customHeight="1" x14ac:dyDescent="0.25">
      <c r="C34" s="121" t="s">
        <v>1</v>
      </c>
      <c r="D34" s="122" t="s">
        <v>9</v>
      </c>
      <c r="E34" s="122"/>
      <c r="F34" s="122"/>
      <c r="G34" s="122"/>
      <c r="H34" s="122"/>
      <c r="I34" s="122"/>
      <c r="J34" s="122"/>
      <c r="K34" s="123" t="s">
        <v>10</v>
      </c>
      <c r="L34" s="123"/>
      <c r="M34" s="123"/>
      <c r="N34" s="123"/>
      <c r="O34" s="123"/>
      <c r="P34" s="123"/>
      <c r="Q34" s="123"/>
      <c r="R34" s="122" t="s">
        <v>11</v>
      </c>
      <c r="S34" s="122"/>
      <c r="T34" s="122"/>
      <c r="U34" s="122"/>
      <c r="V34" s="122"/>
      <c r="W34" s="122"/>
      <c r="X34" s="122"/>
      <c r="Y34" s="123" t="s">
        <v>12</v>
      </c>
      <c r="Z34" s="123"/>
      <c r="AA34" s="123"/>
      <c r="AB34" s="123"/>
      <c r="AC34" s="123"/>
      <c r="AD34" s="123"/>
      <c r="AE34" s="123"/>
      <c r="AF34" s="122" t="s">
        <v>13</v>
      </c>
      <c r="AG34" s="122"/>
      <c r="AH34" s="122"/>
      <c r="AJ34" s="124" t="s">
        <v>24</v>
      </c>
      <c r="AK34" s="124"/>
      <c r="AL34" s="124"/>
    </row>
    <row r="35" spans="3:38" ht="22.5" customHeight="1" x14ac:dyDescent="0.25">
      <c r="C35" s="121"/>
      <c r="D35" s="93" t="s">
        <v>3</v>
      </c>
      <c r="E35" s="93" t="s">
        <v>4</v>
      </c>
      <c r="F35" s="93" t="s">
        <v>5</v>
      </c>
      <c r="G35" s="93" t="s">
        <v>6</v>
      </c>
      <c r="H35" s="93" t="s">
        <v>7</v>
      </c>
      <c r="I35" s="93" t="s">
        <v>8</v>
      </c>
      <c r="J35" s="93" t="s">
        <v>2</v>
      </c>
      <c r="K35" s="138" t="s">
        <v>3</v>
      </c>
      <c r="L35" s="138" t="s">
        <v>4</v>
      </c>
      <c r="M35" s="138" t="s">
        <v>5</v>
      </c>
      <c r="N35" s="138" t="s">
        <v>6</v>
      </c>
      <c r="O35" s="138" t="s">
        <v>7</v>
      </c>
      <c r="P35" s="138" t="s">
        <v>8</v>
      </c>
      <c r="Q35" s="138" t="s">
        <v>2</v>
      </c>
      <c r="R35" s="93" t="s">
        <v>3</v>
      </c>
      <c r="S35" s="93" t="s">
        <v>4</v>
      </c>
      <c r="T35" s="93" t="s">
        <v>5</v>
      </c>
      <c r="U35" s="93" t="s">
        <v>6</v>
      </c>
      <c r="V35" s="93" t="s">
        <v>7</v>
      </c>
      <c r="W35" s="93" t="s">
        <v>8</v>
      </c>
      <c r="X35" s="93" t="s">
        <v>2</v>
      </c>
      <c r="Y35" s="138" t="s">
        <v>3</v>
      </c>
      <c r="Z35" s="138" t="s">
        <v>4</v>
      </c>
      <c r="AA35" s="138" t="s">
        <v>5</v>
      </c>
      <c r="AB35" s="138" t="s">
        <v>6</v>
      </c>
      <c r="AC35" s="138" t="s">
        <v>7</v>
      </c>
      <c r="AD35" s="138" t="s">
        <v>8</v>
      </c>
      <c r="AE35" s="138" t="s">
        <v>2</v>
      </c>
      <c r="AF35" s="93" t="s">
        <v>3</v>
      </c>
      <c r="AG35" s="93" t="s">
        <v>4</v>
      </c>
      <c r="AH35" s="93" t="s">
        <v>5</v>
      </c>
      <c r="AJ35" s="124"/>
      <c r="AK35" s="124"/>
      <c r="AL35" s="124"/>
    </row>
    <row r="36" spans="3:38" ht="22.5" customHeight="1" x14ac:dyDescent="0.25">
      <c r="C36" s="121"/>
      <c r="D36" s="93">
        <v>1</v>
      </c>
      <c r="E36" s="93">
        <v>2</v>
      </c>
      <c r="F36" s="93">
        <v>3</v>
      </c>
      <c r="G36" s="93">
        <v>4</v>
      </c>
      <c r="H36" s="93">
        <v>5</v>
      </c>
      <c r="I36" s="93">
        <v>6</v>
      </c>
      <c r="J36" s="93">
        <v>7</v>
      </c>
      <c r="K36" s="106">
        <v>8</v>
      </c>
      <c r="L36" s="106">
        <v>9</v>
      </c>
      <c r="M36" s="106">
        <v>10</v>
      </c>
      <c r="N36" s="106">
        <v>11</v>
      </c>
      <c r="O36" s="106">
        <v>12</v>
      </c>
      <c r="P36" s="106">
        <v>13</v>
      </c>
      <c r="Q36" s="106">
        <v>14</v>
      </c>
      <c r="R36" s="93">
        <v>15</v>
      </c>
      <c r="S36" s="93">
        <v>16</v>
      </c>
      <c r="T36" s="93">
        <v>17</v>
      </c>
      <c r="U36" s="93">
        <v>18</v>
      </c>
      <c r="V36" s="93">
        <v>19</v>
      </c>
      <c r="W36" s="93">
        <v>20</v>
      </c>
      <c r="X36" s="93">
        <v>21</v>
      </c>
      <c r="Y36" s="106">
        <v>22</v>
      </c>
      <c r="Z36" s="106">
        <v>23</v>
      </c>
      <c r="AA36" s="106">
        <v>24</v>
      </c>
      <c r="AB36" s="106">
        <v>25</v>
      </c>
      <c r="AC36" s="106">
        <v>26</v>
      </c>
      <c r="AD36" s="106">
        <v>27</v>
      </c>
      <c r="AE36" s="106">
        <v>28</v>
      </c>
      <c r="AF36" s="93">
        <v>29</v>
      </c>
      <c r="AG36" s="93">
        <v>30</v>
      </c>
      <c r="AH36" s="93">
        <v>31</v>
      </c>
      <c r="AJ36" s="116" t="s">
        <v>25</v>
      </c>
      <c r="AK36" s="116" t="s">
        <v>26</v>
      </c>
      <c r="AL36" s="116" t="s">
        <v>27</v>
      </c>
    </row>
    <row r="37" spans="3:38" ht="22.5" customHeight="1" x14ac:dyDescent="0.25">
      <c r="C37" s="103" t="s">
        <v>14</v>
      </c>
      <c r="D37" s="94" t="b">
        <v>0</v>
      </c>
      <c r="E37" s="95" t="b">
        <v>0</v>
      </c>
      <c r="F37" s="95" t="b">
        <v>0</v>
      </c>
      <c r="G37" s="95" t="b">
        <v>0</v>
      </c>
      <c r="H37" s="95" t="b">
        <v>0</v>
      </c>
      <c r="I37" s="95" t="b">
        <v>0</v>
      </c>
      <c r="J37" s="96" t="b">
        <v>0</v>
      </c>
      <c r="K37" s="107" t="b">
        <v>0</v>
      </c>
      <c r="L37" s="108" t="b">
        <v>0</v>
      </c>
      <c r="M37" s="108" t="b">
        <v>0</v>
      </c>
      <c r="N37" s="108" t="b">
        <v>0</v>
      </c>
      <c r="O37" s="108" t="b">
        <v>0</v>
      </c>
      <c r="P37" s="108" t="b">
        <v>0</v>
      </c>
      <c r="Q37" s="109" t="b">
        <v>0</v>
      </c>
      <c r="R37" s="94" t="b">
        <v>0</v>
      </c>
      <c r="S37" s="95" t="b">
        <v>0</v>
      </c>
      <c r="T37" s="95" t="b">
        <v>0</v>
      </c>
      <c r="U37" s="95" t="b">
        <v>0</v>
      </c>
      <c r="V37" s="95" t="b">
        <v>0</v>
      </c>
      <c r="W37" s="95" t="b">
        <v>0</v>
      </c>
      <c r="X37" s="96" t="b">
        <v>0</v>
      </c>
      <c r="Y37" s="107" t="b">
        <v>0</v>
      </c>
      <c r="Z37" s="108" t="b">
        <v>0</v>
      </c>
      <c r="AA37" s="108" t="b">
        <v>0</v>
      </c>
      <c r="AB37" s="108" t="b">
        <v>0</v>
      </c>
      <c r="AC37" s="108" t="b">
        <v>0</v>
      </c>
      <c r="AD37" s="108" t="b">
        <v>0</v>
      </c>
      <c r="AE37" s="109" t="b">
        <v>0</v>
      </c>
      <c r="AF37" s="94" t="b">
        <v>0</v>
      </c>
      <c r="AG37" s="95" t="b">
        <v>0</v>
      </c>
      <c r="AH37" s="96" t="b">
        <v>0</v>
      </c>
      <c r="AJ37" s="23">
        <f>COUNTA($D$36:$AH$36)</f>
        <v>31</v>
      </c>
      <c r="AK37" s="23">
        <f>COUNTIF(D37:AH37, TRUE)</f>
        <v>0</v>
      </c>
      <c r="AL37" s="24">
        <f>AK37/AJ37</f>
        <v>0</v>
      </c>
    </row>
    <row r="38" spans="3:38" ht="22.5" customHeight="1" x14ac:dyDescent="0.25">
      <c r="C38" s="104" t="s">
        <v>15</v>
      </c>
      <c r="D38" s="97" t="b">
        <v>0</v>
      </c>
      <c r="E38" s="98" t="b">
        <v>0</v>
      </c>
      <c r="F38" s="98" t="b">
        <v>0</v>
      </c>
      <c r="G38" s="98" t="b">
        <v>0</v>
      </c>
      <c r="H38" s="98" t="b">
        <v>0</v>
      </c>
      <c r="I38" s="98" t="b">
        <v>0</v>
      </c>
      <c r="J38" s="99" t="b">
        <v>0</v>
      </c>
      <c r="K38" s="110" t="b">
        <v>0</v>
      </c>
      <c r="L38" s="111" t="b">
        <v>0</v>
      </c>
      <c r="M38" s="111" t="b">
        <v>0</v>
      </c>
      <c r="N38" s="111" t="b">
        <v>0</v>
      </c>
      <c r="O38" s="111" t="b">
        <v>0</v>
      </c>
      <c r="P38" s="111" t="b">
        <v>0</v>
      </c>
      <c r="Q38" s="112" t="b">
        <v>0</v>
      </c>
      <c r="R38" s="97" t="b">
        <v>0</v>
      </c>
      <c r="S38" s="98" t="b">
        <v>0</v>
      </c>
      <c r="T38" s="98" t="b">
        <v>0</v>
      </c>
      <c r="U38" s="98" t="b">
        <v>0</v>
      </c>
      <c r="V38" s="98" t="b">
        <v>0</v>
      </c>
      <c r="W38" s="98" t="b">
        <v>0</v>
      </c>
      <c r="X38" s="99" t="b">
        <v>0</v>
      </c>
      <c r="Y38" s="110" t="b">
        <v>0</v>
      </c>
      <c r="Z38" s="111" t="b">
        <v>0</v>
      </c>
      <c r="AA38" s="111" t="b">
        <v>0</v>
      </c>
      <c r="AB38" s="111" t="b">
        <v>0</v>
      </c>
      <c r="AC38" s="111" t="b">
        <v>0</v>
      </c>
      <c r="AD38" s="111" t="b">
        <v>0</v>
      </c>
      <c r="AE38" s="112" t="b">
        <v>0</v>
      </c>
      <c r="AF38" s="97" t="b">
        <v>0</v>
      </c>
      <c r="AG38" s="98" t="b">
        <v>0</v>
      </c>
      <c r="AH38" s="99" t="b">
        <v>0</v>
      </c>
      <c r="AJ38" s="23">
        <f t="shared" ref="AJ38:AJ43" si="6">COUNTA($D$36:$AH$36)</f>
        <v>31</v>
      </c>
      <c r="AK38" s="23">
        <f t="shared" ref="AK38:AK43" si="7">COUNTIF(D38:AH38, TRUE)</f>
        <v>0</v>
      </c>
      <c r="AL38" s="24">
        <f t="shared" ref="AL38:AL43" si="8">AK38/AJ38</f>
        <v>0</v>
      </c>
    </row>
    <row r="39" spans="3:38" ht="22.5" customHeight="1" x14ac:dyDescent="0.25">
      <c r="C39" s="104" t="s">
        <v>16</v>
      </c>
      <c r="D39" s="97" t="b">
        <v>0</v>
      </c>
      <c r="E39" s="98" t="b">
        <v>0</v>
      </c>
      <c r="F39" s="98" t="b">
        <v>0</v>
      </c>
      <c r="G39" s="98" t="b">
        <v>0</v>
      </c>
      <c r="H39" s="98" t="b">
        <v>0</v>
      </c>
      <c r="I39" s="98" t="b">
        <v>0</v>
      </c>
      <c r="J39" s="99" t="b">
        <v>0</v>
      </c>
      <c r="K39" s="110" t="b">
        <v>0</v>
      </c>
      <c r="L39" s="111" t="b">
        <v>0</v>
      </c>
      <c r="M39" s="111" t="b">
        <v>0</v>
      </c>
      <c r="N39" s="111" t="b">
        <v>0</v>
      </c>
      <c r="O39" s="111" t="b">
        <v>0</v>
      </c>
      <c r="P39" s="111" t="b">
        <v>0</v>
      </c>
      <c r="Q39" s="112" t="b">
        <v>0</v>
      </c>
      <c r="R39" s="97" t="b">
        <v>0</v>
      </c>
      <c r="S39" s="98" t="b">
        <v>0</v>
      </c>
      <c r="T39" s="98" t="b">
        <v>0</v>
      </c>
      <c r="U39" s="98" t="b">
        <v>0</v>
      </c>
      <c r="V39" s="98" t="b">
        <v>0</v>
      </c>
      <c r="W39" s="98" t="b">
        <v>0</v>
      </c>
      <c r="X39" s="99" t="b">
        <v>0</v>
      </c>
      <c r="Y39" s="110" t="b">
        <v>0</v>
      </c>
      <c r="Z39" s="111" t="b">
        <v>0</v>
      </c>
      <c r="AA39" s="111" t="b">
        <v>0</v>
      </c>
      <c r="AB39" s="111" t="b">
        <v>0</v>
      </c>
      <c r="AC39" s="111" t="b">
        <v>0</v>
      </c>
      <c r="AD39" s="111" t="b">
        <v>0</v>
      </c>
      <c r="AE39" s="112" t="b">
        <v>0</v>
      </c>
      <c r="AF39" s="97" t="b">
        <v>0</v>
      </c>
      <c r="AG39" s="98" t="b">
        <v>0</v>
      </c>
      <c r="AH39" s="99" t="b">
        <v>0</v>
      </c>
      <c r="AJ39" s="23">
        <f t="shared" si="6"/>
        <v>31</v>
      </c>
      <c r="AK39" s="23">
        <f>COUNTIF(D39:AH39, TRUE)</f>
        <v>0</v>
      </c>
      <c r="AL39" s="24">
        <f t="shared" si="8"/>
        <v>0</v>
      </c>
    </row>
    <row r="40" spans="3:38" ht="22.5" customHeight="1" x14ac:dyDescent="0.25">
      <c r="C40" s="104" t="s">
        <v>17</v>
      </c>
      <c r="D40" s="97" t="b">
        <v>0</v>
      </c>
      <c r="E40" s="98" t="b">
        <v>0</v>
      </c>
      <c r="F40" s="98" t="b">
        <v>0</v>
      </c>
      <c r="G40" s="98" t="b">
        <v>0</v>
      </c>
      <c r="H40" s="98" t="b">
        <v>0</v>
      </c>
      <c r="I40" s="98" t="b">
        <v>0</v>
      </c>
      <c r="J40" s="99" t="b">
        <v>0</v>
      </c>
      <c r="K40" s="110" t="b">
        <v>0</v>
      </c>
      <c r="L40" s="111" t="b">
        <v>0</v>
      </c>
      <c r="M40" s="111" t="b">
        <v>0</v>
      </c>
      <c r="N40" s="111" t="b">
        <v>0</v>
      </c>
      <c r="O40" s="111" t="b">
        <v>0</v>
      </c>
      <c r="P40" s="111" t="b">
        <v>0</v>
      </c>
      <c r="Q40" s="112" t="b">
        <v>0</v>
      </c>
      <c r="R40" s="97" t="b">
        <v>0</v>
      </c>
      <c r="S40" s="98" t="b">
        <v>0</v>
      </c>
      <c r="T40" s="98" t="b">
        <v>0</v>
      </c>
      <c r="U40" s="98" t="b">
        <v>0</v>
      </c>
      <c r="V40" s="98" t="b">
        <v>0</v>
      </c>
      <c r="W40" s="98" t="b">
        <v>0</v>
      </c>
      <c r="X40" s="99" t="b">
        <v>0</v>
      </c>
      <c r="Y40" s="110" t="b">
        <v>0</v>
      </c>
      <c r="Z40" s="111" t="b">
        <v>0</v>
      </c>
      <c r="AA40" s="111" t="b">
        <v>0</v>
      </c>
      <c r="AB40" s="111" t="b">
        <v>0</v>
      </c>
      <c r="AC40" s="111" t="b">
        <v>0</v>
      </c>
      <c r="AD40" s="111" t="b">
        <v>0</v>
      </c>
      <c r="AE40" s="112" t="b">
        <v>0</v>
      </c>
      <c r="AF40" s="97" t="b">
        <v>0</v>
      </c>
      <c r="AG40" s="98" t="b">
        <v>0</v>
      </c>
      <c r="AH40" s="99" t="b">
        <v>0</v>
      </c>
      <c r="AJ40" s="23">
        <f t="shared" si="6"/>
        <v>31</v>
      </c>
      <c r="AK40" s="23">
        <f t="shared" si="7"/>
        <v>0</v>
      </c>
      <c r="AL40" s="24">
        <f t="shared" si="8"/>
        <v>0</v>
      </c>
    </row>
    <row r="41" spans="3:38" ht="22.5" customHeight="1" x14ac:dyDescent="0.25">
      <c r="C41" s="104" t="s">
        <v>19</v>
      </c>
      <c r="D41" s="97" t="b">
        <v>0</v>
      </c>
      <c r="E41" s="98" t="b">
        <v>0</v>
      </c>
      <c r="F41" s="98" t="b">
        <v>0</v>
      </c>
      <c r="G41" s="98" t="b">
        <v>0</v>
      </c>
      <c r="H41" s="98" t="b">
        <v>0</v>
      </c>
      <c r="I41" s="98" t="b">
        <v>0</v>
      </c>
      <c r="J41" s="99" t="b">
        <v>0</v>
      </c>
      <c r="K41" s="110" t="b">
        <v>0</v>
      </c>
      <c r="L41" s="111" t="b">
        <v>0</v>
      </c>
      <c r="M41" s="111" t="b">
        <v>0</v>
      </c>
      <c r="N41" s="111" t="b">
        <v>0</v>
      </c>
      <c r="O41" s="111" t="b">
        <v>0</v>
      </c>
      <c r="P41" s="111" t="b">
        <v>0</v>
      </c>
      <c r="Q41" s="112" t="b">
        <v>0</v>
      </c>
      <c r="R41" s="97" t="b">
        <v>0</v>
      </c>
      <c r="S41" s="98" t="b">
        <v>0</v>
      </c>
      <c r="T41" s="98" t="b">
        <v>0</v>
      </c>
      <c r="U41" s="98" t="b">
        <v>0</v>
      </c>
      <c r="V41" s="98" t="b">
        <v>0</v>
      </c>
      <c r="W41" s="98" t="b">
        <v>0</v>
      </c>
      <c r="X41" s="99" t="b">
        <v>0</v>
      </c>
      <c r="Y41" s="110" t="b">
        <v>0</v>
      </c>
      <c r="Z41" s="111" t="b">
        <v>0</v>
      </c>
      <c r="AA41" s="111" t="b">
        <v>0</v>
      </c>
      <c r="AB41" s="111" t="b">
        <v>0</v>
      </c>
      <c r="AC41" s="111" t="b">
        <v>0</v>
      </c>
      <c r="AD41" s="111" t="b">
        <v>0</v>
      </c>
      <c r="AE41" s="112" t="b">
        <v>0</v>
      </c>
      <c r="AF41" s="97" t="b">
        <v>0</v>
      </c>
      <c r="AG41" s="98" t="b">
        <v>0</v>
      </c>
      <c r="AH41" s="99" t="b">
        <v>0</v>
      </c>
      <c r="AJ41" s="23">
        <f t="shared" si="6"/>
        <v>31</v>
      </c>
      <c r="AK41" s="23">
        <f t="shared" si="7"/>
        <v>0</v>
      </c>
      <c r="AL41" s="24">
        <f t="shared" si="8"/>
        <v>0</v>
      </c>
    </row>
    <row r="42" spans="3:38" ht="22.5" customHeight="1" x14ac:dyDescent="0.25">
      <c r="C42" s="104" t="s">
        <v>20</v>
      </c>
      <c r="D42" s="97" t="b">
        <v>0</v>
      </c>
      <c r="E42" s="98" t="b">
        <v>0</v>
      </c>
      <c r="F42" s="98" t="b">
        <v>0</v>
      </c>
      <c r="G42" s="98" t="b">
        <v>0</v>
      </c>
      <c r="H42" s="98" t="b">
        <v>0</v>
      </c>
      <c r="I42" s="98" t="b">
        <v>0</v>
      </c>
      <c r="J42" s="99" t="b">
        <v>0</v>
      </c>
      <c r="K42" s="110" t="b">
        <v>0</v>
      </c>
      <c r="L42" s="111" t="b">
        <v>0</v>
      </c>
      <c r="M42" s="111" t="b">
        <v>0</v>
      </c>
      <c r="N42" s="111" t="b">
        <v>0</v>
      </c>
      <c r="O42" s="111" t="b">
        <v>0</v>
      </c>
      <c r="P42" s="111" t="b">
        <v>0</v>
      </c>
      <c r="Q42" s="112" t="b">
        <v>0</v>
      </c>
      <c r="R42" s="97" t="b">
        <v>0</v>
      </c>
      <c r="S42" s="98" t="b">
        <v>0</v>
      </c>
      <c r="T42" s="98" t="b">
        <v>0</v>
      </c>
      <c r="U42" s="98" t="b">
        <v>0</v>
      </c>
      <c r="V42" s="98" t="b">
        <v>0</v>
      </c>
      <c r="W42" s="98" t="b">
        <v>0</v>
      </c>
      <c r="X42" s="99" t="b">
        <v>0</v>
      </c>
      <c r="Y42" s="110" t="b">
        <v>0</v>
      </c>
      <c r="Z42" s="111" t="b">
        <v>0</v>
      </c>
      <c r="AA42" s="111" t="b">
        <v>0</v>
      </c>
      <c r="AB42" s="111" t="b">
        <v>0</v>
      </c>
      <c r="AC42" s="111" t="b">
        <v>0</v>
      </c>
      <c r="AD42" s="111" t="b">
        <v>0</v>
      </c>
      <c r="AE42" s="112" t="b">
        <v>0</v>
      </c>
      <c r="AF42" s="97" t="b">
        <v>0</v>
      </c>
      <c r="AG42" s="98" t="b">
        <v>0</v>
      </c>
      <c r="AH42" s="99" t="b">
        <v>0</v>
      </c>
      <c r="AJ42" s="23">
        <f t="shared" si="6"/>
        <v>31</v>
      </c>
      <c r="AK42" s="23">
        <f t="shared" si="7"/>
        <v>0</v>
      </c>
      <c r="AL42" s="24">
        <f t="shared" si="8"/>
        <v>0</v>
      </c>
    </row>
    <row r="43" spans="3:38" ht="22.5" customHeight="1" x14ac:dyDescent="0.25">
      <c r="C43" s="105" t="s">
        <v>18</v>
      </c>
      <c r="D43" s="100" t="b">
        <v>0</v>
      </c>
      <c r="E43" s="101" t="b">
        <v>0</v>
      </c>
      <c r="F43" s="101" t="b">
        <v>0</v>
      </c>
      <c r="G43" s="101" t="b">
        <v>0</v>
      </c>
      <c r="H43" s="101" t="b">
        <v>0</v>
      </c>
      <c r="I43" s="101" t="b">
        <v>0</v>
      </c>
      <c r="J43" s="102" t="b">
        <v>0</v>
      </c>
      <c r="K43" s="113" t="b">
        <v>0</v>
      </c>
      <c r="L43" s="114" t="b">
        <v>0</v>
      </c>
      <c r="M43" s="114" t="b">
        <v>0</v>
      </c>
      <c r="N43" s="114" t="b">
        <v>0</v>
      </c>
      <c r="O43" s="114" t="b">
        <v>0</v>
      </c>
      <c r="P43" s="114" t="b">
        <v>0</v>
      </c>
      <c r="Q43" s="115" t="b">
        <v>0</v>
      </c>
      <c r="R43" s="100" t="b">
        <v>0</v>
      </c>
      <c r="S43" s="101" t="b">
        <v>0</v>
      </c>
      <c r="T43" s="101" t="b">
        <v>0</v>
      </c>
      <c r="U43" s="101" t="b">
        <v>0</v>
      </c>
      <c r="V43" s="101" t="b">
        <v>0</v>
      </c>
      <c r="W43" s="101" t="b">
        <v>0</v>
      </c>
      <c r="X43" s="102" t="b">
        <v>0</v>
      </c>
      <c r="Y43" s="113" t="b">
        <v>0</v>
      </c>
      <c r="Z43" s="114" t="b">
        <v>0</v>
      </c>
      <c r="AA43" s="114" t="b">
        <v>0</v>
      </c>
      <c r="AB43" s="114" t="b">
        <v>0</v>
      </c>
      <c r="AC43" s="114" t="b">
        <v>0</v>
      </c>
      <c r="AD43" s="114" t="b">
        <v>0</v>
      </c>
      <c r="AE43" s="115" t="b">
        <v>0</v>
      </c>
      <c r="AF43" s="100" t="b">
        <v>0</v>
      </c>
      <c r="AG43" s="101" t="b">
        <v>0</v>
      </c>
      <c r="AH43" s="102" t="b">
        <v>0</v>
      </c>
      <c r="AJ43" s="23">
        <f t="shared" si="6"/>
        <v>31</v>
      </c>
      <c r="AK43" s="23">
        <f t="shared" si="7"/>
        <v>0</v>
      </c>
      <c r="AL43" s="24">
        <f t="shared" si="8"/>
        <v>0</v>
      </c>
    </row>
    <row r="45" spans="3:38" ht="22.5" customHeight="1" x14ac:dyDescent="0.25">
      <c r="C45" s="82"/>
      <c r="D45" s="118" t="s">
        <v>45</v>
      </c>
      <c r="E45" s="118"/>
      <c r="F45" s="118"/>
      <c r="G45" s="118"/>
      <c r="H45" s="118"/>
      <c r="I45" s="118"/>
      <c r="J45" s="118"/>
      <c r="K45" s="83"/>
      <c r="L45" s="83"/>
      <c r="M45" s="83"/>
      <c r="N45" s="84" t="s">
        <v>21</v>
      </c>
      <c r="O45" s="83"/>
      <c r="P45" s="83"/>
      <c r="Q45" s="83"/>
      <c r="R45" s="83"/>
      <c r="S45" s="84" t="s">
        <v>23</v>
      </c>
      <c r="T45" s="83"/>
      <c r="U45" s="85"/>
      <c r="V45" s="83"/>
      <c r="W45" s="83"/>
      <c r="X45" s="84" t="s">
        <v>27</v>
      </c>
      <c r="Y45" s="83"/>
      <c r="Z45" s="83"/>
      <c r="AA45" s="83"/>
      <c r="AB45" s="84" t="s">
        <v>28</v>
      </c>
      <c r="AC45" s="83"/>
      <c r="AD45" s="83"/>
      <c r="AE45" s="83"/>
      <c r="AF45" s="83"/>
      <c r="AG45" s="83"/>
    </row>
    <row r="46" spans="3:38" ht="22.5" customHeight="1" x14ac:dyDescent="0.25">
      <c r="C46" s="87"/>
      <c r="D46" s="119"/>
      <c r="E46" s="119"/>
      <c r="F46" s="119"/>
      <c r="G46" s="119"/>
      <c r="H46" s="119"/>
      <c r="I46" s="119"/>
      <c r="J46" s="119"/>
      <c r="K46" s="88"/>
      <c r="L46" s="88"/>
      <c r="M46" s="88"/>
      <c r="N46" s="89">
        <f>COUNTA(C51:C57)</f>
        <v>7</v>
      </c>
      <c r="O46" s="88"/>
      <c r="P46" s="88"/>
      <c r="Q46" s="88"/>
      <c r="R46" s="88"/>
      <c r="S46" s="89">
        <f>COUNTIF(D51:AG57,TRUE)</f>
        <v>0</v>
      </c>
      <c r="T46" s="88"/>
      <c r="U46" s="90"/>
      <c r="V46" s="88"/>
      <c r="W46" s="120">
        <f>COUNTIF(D51:AG57, TRUE)/(COUNTA(D50:AG50)*COUNTA(C51:C57))</f>
        <v>0</v>
      </c>
      <c r="X46" s="120"/>
      <c r="Y46" s="120"/>
      <c r="Z46" s="88"/>
      <c r="AA46" s="88"/>
      <c r="AB46" s="91">
        <f>COUNTIF(D51:AG57, TRUE)/(COUNTA(D50:AG50)*COUNTA(C51:C57))</f>
        <v>0</v>
      </c>
      <c r="AC46" s="88"/>
      <c r="AD46" s="88"/>
      <c r="AE46" s="88"/>
      <c r="AF46" s="88"/>
      <c r="AG46" s="88"/>
    </row>
    <row r="48" spans="3:38" ht="22.5" customHeight="1" x14ac:dyDescent="0.25">
      <c r="C48" s="139" t="s">
        <v>1</v>
      </c>
      <c r="D48" s="140" t="s">
        <v>9</v>
      </c>
      <c r="E48" s="140"/>
      <c r="F48" s="140"/>
      <c r="G48" s="140"/>
      <c r="H48" s="140"/>
      <c r="I48" s="140"/>
      <c r="J48" s="140"/>
      <c r="K48" s="140" t="s">
        <v>10</v>
      </c>
      <c r="L48" s="140"/>
      <c r="M48" s="140"/>
      <c r="N48" s="140"/>
      <c r="O48" s="140"/>
      <c r="P48" s="140"/>
      <c r="Q48" s="140"/>
      <c r="R48" s="140" t="s">
        <v>11</v>
      </c>
      <c r="S48" s="140"/>
      <c r="T48" s="140"/>
      <c r="U48" s="140"/>
      <c r="V48" s="140"/>
      <c r="W48" s="140"/>
      <c r="X48" s="140"/>
      <c r="Y48" s="140" t="s">
        <v>12</v>
      </c>
      <c r="Z48" s="140"/>
      <c r="AA48" s="140"/>
      <c r="AB48" s="140"/>
      <c r="AC48" s="140"/>
      <c r="AD48" s="140"/>
      <c r="AE48" s="140"/>
      <c r="AF48" s="141" t="s">
        <v>13</v>
      </c>
      <c r="AG48" s="142"/>
      <c r="AI48" s="124" t="s">
        <v>24</v>
      </c>
      <c r="AJ48" s="124"/>
      <c r="AK48" s="124"/>
    </row>
    <row r="49" spans="3:38" ht="22.5" customHeight="1" x14ac:dyDescent="0.25">
      <c r="C49" s="139"/>
      <c r="D49" s="143" t="s">
        <v>44</v>
      </c>
      <c r="E49" s="143" t="s">
        <v>7</v>
      </c>
      <c r="F49" s="143" t="s">
        <v>8</v>
      </c>
      <c r="G49" s="143" t="s">
        <v>2</v>
      </c>
      <c r="H49" s="143" t="s">
        <v>3</v>
      </c>
      <c r="I49" s="143" t="s">
        <v>4</v>
      </c>
      <c r="J49" s="143" t="s">
        <v>5</v>
      </c>
      <c r="K49" s="143" t="s">
        <v>44</v>
      </c>
      <c r="L49" s="143" t="s">
        <v>7</v>
      </c>
      <c r="M49" s="143" t="s">
        <v>8</v>
      </c>
      <c r="N49" s="143" t="s">
        <v>2</v>
      </c>
      <c r="O49" s="143" t="s">
        <v>3</v>
      </c>
      <c r="P49" s="143" t="s">
        <v>4</v>
      </c>
      <c r="Q49" s="143" t="s">
        <v>5</v>
      </c>
      <c r="R49" s="143" t="s">
        <v>44</v>
      </c>
      <c r="S49" s="143" t="s">
        <v>7</v>
      </c>
      <c r="T49" s="143" t="s">
        <v>8</v>
      </c>
      <c r="U49" s="143" t="s">
        <v>2</v>
      </c>
      <c r="V49" s="143" t="s">
        <v>3</v>
      </c>
      <c r="W49" s="143" t="s">
        <v>4</v>
      </c>
      <c r="X49" s="143" t="s">
        <v>5</v>
      </c>
      <c r="Y49" s="143" t="s">
        <v>44</v>
      </c>
      <c r="Z49" s="143" t="s">
        <v>7</v>
      </c>
      <c r="AA49" s="143" t="s">
        <v>8</v>
      </c>
      <c r="AB49" s="143" t="s">
        <v>2</v>
      </c>
      <c r="AC49" s="143" t="s">
        <v>3</v>
      </c>
      <c r="AD49" s="143" t="s">
        <v>4</v>
      </c>
      <c r="AE49" s="143" t="s">
        <v>5</v>
      </c>
      <c r="AF49" s="143" t="s">
        <v>44</v>
      </c>
      <c r="AG49" s="143" t="s">
        <v>7</v>
      </c>
      <c r="AI49" s="124"/>
      <c r="AJ49" s="124"/>
      <c r="AK49" s="124"/>
    </row>
    <row r="50" spans="3:38" ht="22.5" customHeight="1" x14ac:dyDescent="0.25">
      <c r="C50" s="139"/>
      <c r="D50" s="143">
        <v>1</v>
      </c>
      <c r="E50" s="143">
        <v>2</v>
      </c>
      <c r="F50" s="143">
        <v>3</v>
      </c>
      <c r="G50" s="143">
        <v>4</v>
      </c>
      <c r="H50" s="143">
        <v>5</v>
      </c>
      <c r="I50" s="143">
        <v>6</v>
      </c>
      <c r="J50" s="143">
        <v>7</v>
      </c>
      <c r="K50" s="143">
        <v>8</v>
      </c>
      <c r="L50" s="143">
        <v>9</v>
      </c>
      <c r="M50" s="143">
        <v>10</v>
      </c>
      <c r="N50" s="143">
        <v>11</v>
      </c>
      <c r="O50" s="143">
        <v>12</v>
      </c>
      <c r="P50" s="143">
        <v>13</v>
      </c>
      <c r="Q50" s="143">
        <v>14</v>
      </c>
      <c r="R50" s="143">
        <v>15</v>
      </c>
      <c r="S50" s="143">
        <v>16</v>
      </c>
      <c r="T50" s="143">
        <v>17</v>
      </c>
      <c r="U50" s="143">
        <v>18</v>
      </c>
      <c r="V50" s="143">
        <v>19</v>
      </c>
      <c r="W50" s="143">
        <v>20</v>
      </c>
      <c r="X50" s="143">
        <v>21</v>
      </c>
      <c r="Y50" s="143">
        <v>22</v>
      </c>
      <c r="Z50" s="143">
        <v>23</v>
      </c>
      <c r="AA50" s="143">
        <v>24</v>
      </c>
      <c r="AB50" s="143">
        <v>25</v>
      </c>
      <c r="AC50" s="143">
        <v>26</v>
      </c>
      <c r="AD50" s="143">
        <v>27</v>
      </c>
      <c r="AE50" s="143">
        <v>28</v>
      </c>
      <c r="AF50" s="143">
        <v>29</v>
      </c>
      <c r="AG50" s="143">
        <v>30</v>
      </c>
      <c r="AI50" s="116" t="s">
        <v>25</v>
      </c>
      <c r="AJ50" s="116" t="s">
        <v>26</v>
      </c>
      <c r="AK50" s="116" t="s">
        <v>27</v>
      </c>
    </row>
    <row r="51" spans="3:38" ht="22.5" customHeight="1" x14ac:dyDescent="0.25">
      <c r="C51" s="144" t="s">
        <v>14</v>
      </c>
      <c r="D51" s="145" t="b">
        <v>0</v>
      </c>
      <c r="E51" s="146" t="b">
        <v>0</v>
      </c>
      <c r="F51" s="146" t="b">
        <v>0</v>
      </c>
      <c r="G51" s="146" t="b">
        <v>0</v>
      </c>
      <c r="H51" s="146" t="b">
        <v>0</v>
      </c>
      <c r="I51" s="146" t="b">
        <v>0</v>
      </c>
      <c r="J51" s="147" t="b">
        <v>0</v>
      </c>
      <c r="K51" s="145" t="b">
        <v>0</v>
      </c>
      <c r="L51" s="146" t="b">
        <v>0</v>
      </c>
      <c r="M51" s="146" t="b">
        <v>0</v>
      </c>
      <c r="N51" s="146" t="b">
        <v>0</v>
      </c>
      <c r="O51" s="146" t="b">
        <v>0</v>
      </c>
      <c r="P51" s="146" t="b">
        <v>0</v>
      </c>
      <c r="Q51" s="147" t="b">
        <v>0</v>
      </c>
      <c r="R51" s="145" t="b">
        <v>0</v>
      </c>
      <c r="S51" s="146" t="b">
        <v>0</v>
      </c>
      <c r="T51" s="146" t="b">
        <v>0</v>
      </c>
      <c r="U51" s="146" t="b">
        <v>0</v>
      </c>
      <c r="V51" s="146" t="b">
        <v>0</v>
      </c>
      <c r="W51" s="146" t="b">
        <v>0</v>
      </c>
      <c r="X51" s="147" t="b">
        <v>0</v>
      </c>
      <c r="Y51" s="145" t="b">
        <v>0</v>
      </c>
      <c r="Z51" s="146" t="b">
        <v>0</v>
      </c>
      <c r="AA51" s="146" t="b">
        <v>0</v>
      </c>
      <c r="AB51" s="146" t="b">
        <v>0</v>
      </c>
      <c r="AC51" s="146" t="b">
        <v>0</v>
      </c>
      <c r="AD51" s="146" t="b">
        <v>0</v>
      </c>
      <c r="AE51" s="147" t="b">
        <v>0</v>
      </c>
      <c r="AF51" s="145" t="b">
        <v>0</v>
      </c>
      <c r="AG51" s="147" t="b">
        <v>0</v>
      </c>
      <c r="AI51" s="23">
        <f>COUNTA($D$50:$AG$50)</f>
        <v>30</v>
      </c>
      <c r="AJ51" s="23">
        <f>COUNTIF(D51:AG51, TRUE)</f>
        <v>0</v>
      </c>
      <c r="AK51" s="24">
        <f>AJ51/AI51</f>
        <v>0</v>
      </c>
    </row>
    <row r="52" spans="3:38" ht="22.5" customHeight="1" x14ac:dyDescent="0.25">
      <c r="C52" s="148" t="s">
        <v>15</v>
      </c>
      <c r="D52" s="149" t="b">
        <v>0</v>
      </c>
      <c r="E52" s="150" t="b">
        <v>0</v>
      </c>
      <c r="F52" s="150" t="b">
        <v>0</v>
      </c>
      <c r="G52" s="150" t="b">
        <v>0</v>
      </c>
      <c r="H52" s="150" t="b">
        <v>0</v>
      </c>
      <c r="I52" s="150" t="b">
        <v>0</v>
      </c>
      <c r="J52" s="151" t="b">
        <v>0</v>
      </c>
      <c r="K52" s="149" t="b">
        <v>0</v>
      </c>
      <c r="L52" s="150" t="b">
        <v>0</v>
      </c>
      <c r="M52" s="150" t="b">
        <v>0</v>
      </c>
      <c r="N52" s="150" t="b">
        <v>0</v>
      </c>
      <c r="O52" s="150" t="b">
        <v>0</v>
      </c>
      <c r="P52" s="150" t="b">
        <v>0</v>
      </c>
      <c r="Q52" s="151" t="b">
        <v>0</v>
      </c>
      <c r="R52" s="149" t="b">
        <v>0</v>
      </c>
      <c r="S52" s="150" t="b">
        <v>0</v>
      </c>
      <c r="T52" s="150" t="b">
        <v>0</v>
      </c>
      <c r="U52" s="150" t="b">
        <v>0</v>
      </c>
      <c r="V52" s="150" t="b">
        <v>0</v>
      </c>
      <c r="W52" s="150" t="b">
        <v>0</v>
      </c>
      <c r="X52" s="151" t="b">
        <v>0</v>
      </c>
      <c r="Y52" s="149" t="b">
        <v>0</v>
      </c>
      <c r="Z52" s="150" t="b">
        <v>0</v>
      </c>
      <c r="AA52" s="150" t="b">
        <v>0</v>
      </c>
      <c r="AB52" s="150" t="b">
        <v>0</v>
      </c>
      <c r="AC52" s="150" t="b">
        <v>0</v>
      </c>
      <c r="AD52" s="150" t="b">
        <v>0</v>
      </c>
      <c r="AE52" s="151" t="b">
        <v>0</v>
      </c>
      <c r="AF52" s="149" t="b">
        <v>0</v>
      </c>
      <c r="AG52" s="151" t="b">
        <v>0</v>
      </c>
      <c r="AI52" s="23">
        <f t="shared" ref="AI52:AI57" si="9">COUNTA($D$50:$AG$50)</f>
        <v>30</v>
      </c>
      <c r="AJ52" s="23">
        <f>COUNTIF(D52:AG52, TRUE)</f>
        <v>0</v>
      </c>
      <c r="AK52" s="24">
        <f t="shared" ref="AK52:AK57" si="10">AJ52/AI52</f>
        <v>0</v>
      </c>
    </row>
    <row r="53" spans="3:38" ht="22.5" customHeight="1" x14ac:dyDescent="0.25">
      <c r="C53" s="148" t="s">
        <v>16</v>
      </c>
      <c r="D53" s="149" t="b">
        <v>0</v>
      </c>
      <c r="E53" s="150" t="b">
        <v>0</v>
      </c>
      <c r="F53" s="150" t="b">
        <v>0</v>
      </c>
      <c r="G53" s="150" t="b">
        <v>0</v>
      </c>
      <c r="H53" s="150" t="b">
        <v>0</v>
      </c>
      <c r="I53" s="150" t="b">
        <v>0</v>
      </c>
      <c r="J53" s="151" t="b">
        <v>0</v>
      </c>
      <c r="K53" s="149" t="b">
        <v>0</v>
      </c>
      <c r="L53" s="150" t="b">
        <v>0</v>
      </c>
      <c r="M53" s="150" t="b">
        <v>0</v>
      </c>
      <c r="N53" s="150" t="b">
        <v>0</v>
      </c>
      <c r="O53" s="150" t="b">
        <v>0</v>
      </c>
      <c r="P53" s="150" t="b">
        <v>0</v>
      </c>
      <c r="Q53" s="151" t="b">
        <v>0</v>
      </c>
      <c r="R53" s="149" t="b">
        <v>0</v>
      </c>
      <c r="S53" s="150" t="b">
        <v>0</v>
      </c>
      <c r="T53" s="150" t="b">
        <v>0</v>
      </c>
      <c r="U53" s="150" t="b">
        <v>0</v>
      </c>
      <c r="V53" s="150" t="b">
        <v>0</v>
      </c>
      <c r="W53" s="150" t="b">
        <v>0</v>
      </c>
      <c r="X53" s="151" t="b">
        <v>0</v>
      </c>
      <c r="Y53" s="149" t="b">
        <v>0</v>
      </c>
      <c r="Z53" s="150" t="b">
        <v>0</v>
      </c>
      <c r="AA53" s="150" t="b">
        <v>0</v>
      </c>
      <c r="AB53" s="150" t="b">
        <v>0</v>
      </c>
      <c r="AC53" s="150" t="b">
        <v>0</v>
      </c>
      <c r="AD53" s="150" t="b">
        <v>0</v>
      </c>
      <c r="AE53" s="151" t="b">
        <v>0</v>
      </c>
      <c r="AF53" s="149" t="b">
        <v>0</v>
      </c>
      <c r="AG53" s="151" t="b">
        <v>0</v>
      </c>
      <c r="AI53" s="23">
        <f t="shared" si="9"/>
        <v>30</v>
      </c>
      <c r="AJ53" s="23">
        <f>COUNTIF(D53:AG53, TRUE)</f>
        <v>0</v>
      </c>
      <c r="AK53" s="24">
        <f t="shared" si="10"/>
        <v>0</v>
      </c>
    </row>
    <row r="54" spans="3:38" ht="22.5" customHeight="1" x14ac:dyDescent="0.25">
      <c r="C54" s="148" t="s">
        <v>17</v>
      </c>
      <c r="D54" s="149" t="b">
        <v>0</v>
      </c>
      <c r="E54" s="150" t="b">
        <v>0</v>
      </c>
      <c r="F54" s="150" t="b">
        <v>0</v>
      </c>
      <c r="G54" s="150" t="b">
        <v>0</v>
      </c>
      <c r="H54" s="150" t="b">
        <v>0</v>
      </c>
      <c r="I54" s="150" t="b">
        <v>0</v>
      </c>
      <c r="J54" s="151" t="b">
        <v>0</v>
      </c>
      <c r="K54" s="149" t="b">
        <v>0</v>
      </c>
      <c r="L54" s="150" t="b">
        <v>0</v>
      </c>
      <c r="M54" s="150" t="b">
        <v>0</v>
      </c>
      <c r="N54" s="150" t="b">
        <v>0</v>
      </c>
      <c r="O54" s="150" t="b">
        <v>0</v>
      </c>
      <c r="P54" s="150" t="b">
        <v>0</v>
      </c>
      <c r="Q54" s="151" t="b">
        <v>0</v>
      </c>
      <c r="R54" s="149" t="b">
        <v>0</v>
      </c>
      <c r="S54" s="150" t="b">
        <v>0</v>
      </c>
      <c r="T54" s="150" t="b">
        <v>0</v>
      </c>
      <c r="U54" s="150" t="b">
        <v>0</v>
      </c>
      <c r="V54" s="150" t="b">
        <v>0</v>
      </c>
      <c r="W54" s="150" t="b">
        <v>0</v>
      </c>
      <c r="X54" s="151" t="b">
        <v>0</v>
      </c>
      <c r="Y54" s="149" t="b">
        <v>0</v>
      </c>
      <c r="Z54" s="150" t="b">
        <v>0</v>
      </c>
      <c r="AA54" s="150" t="b">
        <v>0</v>
      </c>
      <c r="AB54" s="150" t="b">
        <v>0</v>
      </c>
      <c r="AC54" s="150" t="b">
        <v>0</v>
      </c>
      <c r="AD54" s="150" t="b">
        <v>0</v>
      </c>
      <c r="AE54" s="151" t="b">
        <v>0</v>
      </c>
      <c r="AF54" s="149" t="b">
        <v>0</v>
      </c>
      <c r="AG54" s="151" t="b">
        <v>0</v>
      </c>
      <c r="AI54" s="23">
        <f t="shared" si="9"/>
        <v>30</v>
      </c>
      <c r="AJ54" s="23">
        <f>COUNTIF(D54:AG54, TRUE)</f>
        <v>0</v>
      </c>
      <c r="AK54" s="24">
        <f t="shared" si="10"/>
        <v>0</v>
      </c>
    </row>
    <row r="55" spans="3:38" ht="22.5" customHeight="1" x14ac:dyDescent="0.25">
      <c r="C55" s="148" t="s">
        <v>19</v>
      </c>
      <c r="D55" s="149" t="b">
        <v>0</v>
      </c>
      <c r="E55" s="150" t="b">
        <v>0</v>
      </c>
      <c r="F55" s="150" t="b">
        <v>0</v>
      </c>
      <c r="G55" s="150" t="b">
        <v>0</v>
      </c>
      <c r="H55" s="150" t="b">
        <v>0</v>
      </c>
      <c r="I55" s="150" t="b">
        <v>0</v>
      </c>
      <c r="J55" s="151" t="b">
        <v>0</v>
      </c>
      <c r="K55" s="149" t="b">
        <v>0</v>
      </c>
      <c r="L55" s="150" t="b">
        <v>0</v>
      </c>
      <c r="M55" s="150" t="b">
        <v>0</v>
      </c>
      <c r="N55" s="150" t="b">
        <v>0</v>
      </c>
      <c r="O55" s="150" t="b">
        <v>0</v>
      </c>
      <c r="P55" s="150" t="b">
        <v>0</v>
      </c>
      <c r="Q55" s="151" t="b">
        <v>0</v>
      </c>
      <c r="R55" s="149" t="b">
        <v>0</v>
      </c>
      <c r="S55" s="150" t="b">
        <v>0</v>
      </c>
      <c r="T55" s="150" t="b">
        <v>0</v>
      </c>
      <c r="U55" s="150" t="b">
        <v>0</v>
      </c>
      <c r="V55" s="150" t="b">
        <v>0</v>
      </c>
      <c r="W55" s="150" t="b">
        <v>0</v>
      </c>
      <c r="X55" s="151" t="b">
        <v>0</v>
      </c>
      <c r="Y55" s="149" t="b">
        <v>0</v>
      </c>
      <c r="Z55" s="150" t="b">
        <v>0</v>
      </c>
      <c r="AA55" s="150" t="b">
        <v>0</v>
      </c>
      <c r="AB55" s="150" t="b">
        <v>0</v>
      </c>
      <c r="AC55" s="150" t="b">
        <v>0</v>
      </c>
      <c r="AD55" s="150" t="b">
        <v>0</v>
      </c>
      <c r="AE55" s="151" t="b">
        <v>0</v>
      </c>
      <c r="AF55" s="149" t="b">
        <v>0</v>
      </c>
      <c r="AG55" s="151" t="b">
        <v>0</v>
      </c>
      <c r="AI55" s="23">
        <f t="shared" si="9"/>
        <v>30</v>
      </c>
      <c r="AJ55" s="23">
        <f>COUNTIF(D55:AG55, TRUE)</f>
        <v>0</v>
      </c>
      <c r="AK55" s="24">
        <f t="shared" si="10"/>
        <v>0</v>
      </c>
    </row>
    <row r="56" spans="3:38" ht="22.5" customHeight="1" x14ac:dyDescent="0.25">
      <c r="C56" s="148" t="s">
        <v>20</v>
      </c>
      <c r="D56" s="149" t="b">
        <v>0</v>
      </c>
      <c r="E56" s="150" t="b">
        <v>0</v>
      </c>
      <c r="F56" s="150" t="b">
        <v>0</v>
      </c>
      <c r="G56" s="150" t="b">
        <v>0</v>
      </c>
      <c r="H56" s="150" t="b">
        <v>0</v>
      </c>
      <c r="I56" s="150" t="b">
        <v>0</v>
      </c>
      <c r="J56" s="151" t="b">
        <v>0</v>
      </c>
      <c r="K56" s="149" t="b">
        <v>0</v>
      </c>
      <c r="L56" s="150" t="b">
        <v>0</v>
      </c>
      <c r="M56" s="150" t="b">
        <v>0</v>
      </c>
      <c r="N56" s="150" t="b">
        <v>0</v>
      </c>
      <c r="O56" s="150" t="b">
        <v>0</v>
      </c>
      <c r="P56" s="150" t="b">
        <v>0</v>
      </c>
      <c r="Q56" s="151" t="b">
        <v>0</v>
      </c>
      <c r="R56" s="149" t="b">
        <v>0</v>
      </c>
      <c r="S56" s="150" t="b">
        <v>0</v>
      </c>
      <c r="T56" s="150" t="b">
        <v>0</v>
      </c>
      <c r="U56" s="150" t="b">
        <v>0</v>
      </c>
      <c r="V56" s="150" t="b">
        <v>0</v>
      </c>
      <c r="W56" s="150" t="b">
        <v>0</v>
      </c>
      <c r="X56" s="151" t="b">
        <v>0</v>
      </c>
      <c r="Y56" s="149" t="b">
        <v>0</v>
      </c>
      <c r="Z56" s="150" t="b">
        <v>0</v>
      </c>
      <c r="AA56" s="150" t="b">
        <v>0</v>
      </c>
      <c r="AB56" s="150" t="b">
        <v>0</v>
      </c>
      <c r="AC56" s="150" t="b">
        <v>0</v>
      </c>
      <c r="AD56" s="150" t="b">
        <v>0</v>
      </c>
      <c r="AE56" s="151" t="b">
        <v>0</v>
      </c>
      <c r="AF56" s="149" t="b">
        <v>0</v>
      </c>
      <c r="AG56" s="151" t="b">
        <v>0</v>
      </c>
      <c r="AI56" s="23">
        <f t="shared" si="9"/>
        <v>30</v>
      </c>
      <c r="AJ56" s="23">
        <f>COUNTIF(D56:AG56, TRUE)</f>
        <v>0</v>
      </c>
      <c r="AK56" s="24">
        <f t="shared" si="10"/>
        <v>0</v>
      </c>
    </row>
    <row r="57" spans="3:38" ht="22.5" customHeight="1" x14ac:dyDescent="0.25">
      <c r="C57" s="152" t="s">
        <v>18</v>
      </c>
      <c r="D57" s="153" t="b">
        <v>0</v>
      </c>
      <c r="E57" s="154" t="b">
        <v>0</v>
      </c>
      <c r="F57" s="154" t="b">
        <v>0</v>
      </c>
      <c r="G57" s="154" t="b">
        <v>0</v>
      </c>
      <c r="H57" s="154" t="b">
        <v>0</v>
      </c>
      <c r="I57" s="154" t="b">
        <v>0</v>
      </c>
      <c r="J57" s="155" t="b">
        <v>0</v>
      </c>
      <c r="K57" s="153" t="b">
        <v>0</v>
      </c>
      <c r="L57" s="154" t="b">
        <v>0</v>
      </c>
      <c r="M57" s="154" t="b">
        <v>0</v>
      </c>
      <c r="N57" s="154" t="b">
        <v>0</v>
      </c>
      <c r="O57" s="154" t="b">
        <v>0</v>
      </c>
      <c r="P57" s="154" t="b">
        <v>0</v>
      </c>
      <c r="Q57" s="155" t="b">
        <v>0</v>
      </c>
      <c r="R57" s="153" t="b">
        <v>0</v>
      </c>
      <c r="S57" s="154" t="b">
        <v>0</v>
      </c>
      <c r="T57" s="154" t="b">
        <v>0</v>
      </c>
      <c r="U57" s="154" t="b">
        <v>0</v>
      </c>
      <c r="V57" s="154" t="b">
        <v>0</v>
      </c>
      <c r="W57" s="154" t="b">
        <v>0</v>
      </c>
      <c r="X57" s="155" t="b">
        <v>0</v>
      </c>
      <c r="Y57" s="153" t="b">
        <v>0</v>
      </c>
      <c r="Z57" s="154" t="b">
        <v>0</v>
      </c>
      <c r="AA57" s="154" t="b">
        <v>0</v>
      </c>
      <c r="AB57" s="154" t="b">
        <v>0</v>
      </c>
      <c r="AC57" s="154" t="b">
        <v>0</v>
      </c>
      <c r="AD57" s="154" t="b">
        <v>0</v>
      </c>
      <c r="AE57" s="155" t="b">
        <v>0</v>
      </c>
      <c r="AF57" s="153" t="b">
        <v>0</v>
      </c>
      <c r="AG57" s="155" t="b">
        <v>0</v>
      </c>
      <c r="AI57" s="23">
        <f t="shared" si="9"/>
        <v>30</v>
      </c>
      <c r="AJ57" s="23">
        <f>COUNTIF(D57:AG57, TRUE)</f>
        <v>0</v>
      </c>
      <c r="AK57" s="24">
        <f t="shared" si="10"/>
        <v>0</v>
      </c>
    </row>
    <row r="59" spans="3:38" ht="22.5" customHeight="1" x14ac:dyDescent="0.25">
      <c r="C59" s="82"/>
      <c r="D59" s="118" t="s">
        <v>46</v>
      </c>
      <c r="E59" s="118"/>
      <c r="F59" s="118"/>
      <c r="G59" s="118"/>
      <c r="H59" s="118"/>
      <c r="I59" s="118"/>
      <c r="J59" s="118"/>
      <c r="K59" s="83"/>
      <c r="L59" s="83"/>
      <c r="M59" s="83"/>
      <c r="N59" s="84" t="s">
        <v>21</v>
      </c>
      <c r="O59" s="83"/>
      <c r="P59" s="83"/>
      <c r="Q59" s="83"/>
      <c r="R59" s="83"/>
      <c r="S59" s="84" t="s">
        <v>23</v>
      </c>
      <c r="T59" s="83"/>
      <c r="U59" s="85"/>
      <c r="V59" s="83"/>
      <c r="W59" s="83"/>
      <c r="X59" s="84" t="s">
        <v>27</v>
      </c>
      <c r="Y59" s="83"/>
      <c r="Z59" s="83"/>
      <c r="AA59" s="83"/>
      <c r="AB59" s="84" t="s">
        <v>28</v>
      </c>
      <c r="AC59" s="83"/>
      <c r="AD59" s="83"/>
      <c r="AE59" s="83"/>
      <c r="AF59" s="83"/>
      <c r="AG59" s="83"/>
      <c r="AH59" s="86"/>
    </row>
    <row r="60" spans="3:38" ht="22.5" customHeight="1" x14ac:dyDescent="0.25">
      <c r="C60" s="87"/>
      <c r="D60" s="119"/>
      <c r="E60" s="119"/>
      <c r="F60" s="119"/>
      <c r="G60" s="119"/>
      <c r="H60" s="119"/>
      <c r="I60" s="119"/>
      <c r="J60" s="119"/>
      <c r="K60" s="88"/>
      <c r="L60" s="88"/>
      <c r="M60" s="88"/>
      <c r="N60" s="89">
        <f>COUNTA(C65:C71)</f>
        <v>7</v>
      </c>
      <c r="O60" s="88"/>
      <c r="P60" s="88"/>
      <c r="Q60" s="88"/>
      <c r="R60" s="88"/>
      <c r="S60" s="89">
        <f>COUNTIF(D65:AH71,TRUE)</f>
        <v>0</v>
      </c>
      <c r="T60" s="88"/>
      <c r="U60" s="90"/>
      <c r="V60" s="88"/>
      <c r="W60" s="120">
        <f>COUNTIF(D65:AH71, TRUE)/(COUNTA(D64:AH64)*COUNTA(C65:C71))</f>
        <v>0</v>
      </c>
      <c r="X60" s="120"/>
      <c r="Y60" s="120"/>
      <c r="Z60" s="88"/>
      <c r="AA60" s="88"/>
      <c r="AB60" s="91">
        <f>COUNTIF(D65:AH71, TRUE)/(COUNTA(D64:AH64)*COUNTA(C65:C71))</f>
        <v>0</v>
      </c>
      <c r="AC60" s="88"/>
      <c r="AD60" s="88"/>
      <c r="AE60" s="88"/>
      <c r="AF60" s="88"/>
      <c r="AG60" s="88"/>
      <c r="AH60" s="92"/>
    </row>
    <row r="62" spans="3:38" ht="22.5" customHeight="1" x14ac:dyDescent="0.25">
      <c r="C62" s="139" t="s">
        <v>1</v>
      </c>
      <c r="D62" s="140" t="s">
        <v>9</v>
      </c>
      <c r="E62" s="140"/>
      <c r="F62" s="140"/>
      <c r="G62" s="140"/>
      <c r="H62" s="140"/>
      <c r="I62" s="140"/>
      <c r="J62" s="140"/>
      <c r="K62" s="140" t="s">
        <v>10</v>
      </c>
      <c r="L62" s="140"/>
      <c r="M62" s="140"/>
      <c r="N62" s="140"/>
      <c r="O62" s="140"/>
      <c r="P62" s="140"/>
      <c r="Q62" s="140"/>
      <c r="R62" s="140" t="s">
        <v>11</v>
      </c>
      <c r="S62" s="140"/>
      <c r="T62" s="140"/>
      <c r="U62" s="140"/>
      <c r="V62" s="140"/>
      <c r="W62" s="140"/>
      <c r="X62" s="140"/>
      <c r="Y62" s="140" t="s">
        <v>12</v>
      </c>
      <c r="Z62" s="140"/>
      <c r="AA62" s="140"/>
      <c r="AB62" s="140"/>
      <c r="AC62" s="140"/>
      <c r="AD62" s="140"/>
      <c r="AE62" s="140"/>
      <c r="AF62" s="140" t="s">
        <v>13</v>
      </c>
      <c r="AG62" s="140"/>
      <c r="AH62" s="140"/>
      <c r="AJ62" s="124" t="s">
        <v>24</v>
      </c>
      <c r="AK62" s="124"/>
      <c r="AL62" s="124"/>
    </row>
    <row r="63" spans="3:38" ht="22.5" customHeight="1" x14ac:dyDescent="0.25">
      <c r="C63" s="139"/>
      <c r="D63" s="143" t="s">
        <v>8</v>
      </c>
      <c r="E63" s="143" t="s">
        <v>2</v>
      </c>
      <c r="F63" s="143" t="s">
        <v>3</v>
      </c>
      <c r="G63" s="143" t="s">
        <v>4</v>
      </c>
      <c r="H63" s="143" t="s">
        <v>5</v>
      </c>
      <c r="I63" s="143" t="s">
        <v>6</v>
      </c>
      <c r="J63" s="143" t="s">
        <v>7</v>
      </c>
      <c r="K63" s="143" t="s">
        <v>8</v>
      </c>
      <c r="L63" s="143" t="s">
        <v>2</v>
      </c>
      <c r="M63" s="143" t="s">
        <v>3</v>
      </c>
      <c r="N63" s="143" t="s">
        <v>4</v>
      </c>
      <c r="O63" s="143" t="s">
        <v>5</v>
      </c>
      <c r="P63" s="143" t="s">
        <v>6</v>
      </c>
      <c r="Q63" s="143" t="s">
        <v>7</v>
      </c>
      <c r="R63" s="143" t="s">
        <v>8</v>
      </c>
      <c r="S63" s="143" t="s">
        <v>2</v>
      </c>
      <c r="T63" s="143" t="s">
        <v>3</v>
      </c>
      <c r="U63" s="143" t="s">
        <v>4</v>
      </c>
      <c r="V63" s="143" t="s">
        <v>5</v>
      </c>
      <c r="W63" s="143" t="s">
        <v>6</v>
      </c>
      <c r="X63" s="143" t="s">
        <v>7</v>
      </c>
      <c r="Y63" s="143" t="s">
        <v>8</v>
      </c>
      <c r="Z63" s="143" t="s">
        <v>2</v>
      </c>
      <c r="AA63" s="143" t="s">
        <v>3</v>
      </c>
      <c r="AB63" s="143" t="s">
        <v>4</v>
      </c>
      <c r="AC63" s="143" t="s">
        <v>5</v>
      </c>
      <c r="AD63" s="143" t="s">
        <v>6</v>
      </c>
      <c r="AE63" s="143" t="s">
        <v>7</v>
      </c>
      <c r="AF63" s="143" t="s">
        <v>8</v>
      </c>
      <c r="AG63" s="143" t="s">
        <v>2</v>
      </c>
      <c r="AH63" s="143" t="s">
        <v>3</v>
      </c>
      <c r="AJ63" s="124"/>
      <c r="AK63" s="124"/>
      <c r="AL63" s="124"/>
    </row>
    <row r="64" spans="3:38" ht="22.5" customHeight="1" x14ac:dyDescent="0.25">
      <c r="C64" s="139"/>
      <c r="D64" s="143">
        <v>1</v>
      </c>
      <c r="E64" s="143">
        <v>2</v>
      </c>
      <c r="F64" s="143">
        <v>3</v>
      </c>
      <c r="G64" s="143">
        <v>4</v>
      </c>
      <c r="H64" s="143">
        <v>5</v>
      </c>
      <c r="I64" s="143">
        <v>6</v>
      </c>
      <c r="J64" s="143">
        <v>7</v>
      </c>
      <c r="K64" s="143">
        <v>8</v>
      </c>
      <c r="L64" s="143">
        <v>9</v>
      </c>
      <c r="M64" s="143">
        <v>10</v>
      </c>
      <c r="N64" s="143">
        <v>11</v>
      </c>
      <c r="O64" s="143">
        <v>12</v>
      </c>
      <c r="P64" s="143">
        <v>13</v>
      </c>
      <c r="Q64" s="143">
        <v>14</v>
      </c>
      <c r="R64" s="143">
        <v>15</v>
      </c>
      <c r="S64" s="143">
        <v>16</v>
      </c>
      <c r="T64" s="143">
        <v>17</v>
      </c>
      <c r="U64" s="143">
        <v>18</v>
      </c>
      <c r="V64" s="143">
        <v>19</v>
      </c>
      <c r="W64" s="143">
        <v>20</v>
      </c>
      <c r="X64" s="143">
        <v>21</v>
      </c>
      <c r="Y64" s="143">
        <v>22</v>
      </c>
      <c r="Z64" s="143">
        <v>23</v>
      </c>
      <c r="AA64" s="143">
        <v>24</v>
      </c>
      <c r="AB64" s="143">
        <v>25</v>
      </c>
      <c r="AC64" s="143">
        <v>26</v>
      </c>
      <c r="AD64" s="143">
        <v>27</v>
      </c>
      <c r="AE64" s="143">
        <v>28</v>
      </c>
      <c r="AF64" s="143">
        <v>29</v>
      </c>
      <c r="AG64" s="143">
        <v>30</v>
      </c>
      <c r="AH64" s="143">
        <v>31</v>
      </c>
      <c r="AJ64" s="116" t="s">
        <v>25</v>
      </c>
      <c r="AK64" s="116" t="s">
        <v>26</v>
      </c>
      <c r="AL64" s="116" t="s">
        <v>27</v>
      </c>
    </row>
    <row r="65" spans="3:38" ht="22.5" customHeight="1" x14ac:dyDescent="0.25">
      <c r="C65" s="144" t="s">
        <v>14</v>
      </c>
      <c r="D65" s="145" t="b">
        <v>0</v>
      </c>
      <c r="E65" s="146" t="b">
        <v>0</v>
      </c>
      <c r="F65" s="146" t="b">
        <v>0</v>
      </c>
      <c r="G65" s="146" t="b">
        <v>0</v>
      </c>
      <c r="H65" s="146" t="b">
        <v>0</v>
      </c>
      <c r="I65" s="146" t="b">
        <v>0</v>
      </c>
      <c r="J65" s="147" t="b">
        <v>0</v>
      </c>
      <c r="K65" s="145" t="b">
        <v>0</v>
      </c>
      <c r="L65" s="146" t="b">
        <v>0</v>
      </c>
      <c r="M65" s="146" t="b">
        <v>0</v>
      </c>
      <c r="N65" s="146" t="b">
        <v>0</v>
      </c>
      <c r="O65" s="146" t="b">
        <v>0</v>
      </c>
      <c r="P65" s="146" t="b">
        <v>0</v>
      </c>
      <c r="Q65" s="147" t="b">
        <v>0</v>
      </c>
      <c r="R65" s="145" t="b">
        <v>0</v>
      </c>
      <c r="S65" s="146" t="b">
        <v>0</v>
      </c>
      <c r="T65" s="146" t="b">
        <v>0</v>
      </c>
      <c r="U65" s="146" t="b">
        <v>0</v>
      </c>
      <c r="V65" s="146" t="b">
        <v>0</v>
      </c>
      <c r="W65" s="146" t="b">
        <v>0</v>
      </c>
      <c r="X65" s="147" t="b">
        <v>0</v>
      </c>
      <c r="Y65" s="145" t="b">
        <v>0</v>
      </c>
      <c r="Z65" s="146" t="b">
        <v>0</v>
      </c>
      <c r="AA65" s="146" t="b">
        <v>0</v>
      </c>
      <c r="AB65" s="146" t="b">
        <v>0</v>
      </c>
      <c r="AC65" s="146" t="b">
        <v>0</v>
      </c>
      <c r="AD65" s="146" t="b">
        <v>0</v>
      </c>
      <c r="AE65" s="147" t="b">
        <v>0</v>
      </c>
      <c r="AF65" s="145" t="b">
        <v>0</v>
      </c>
      <c r="AG65" s="146" t="b">
        <v>0</v>
      </c>
      <c r="AH65" s="147" t="b">
        <v>0</v>
      </c>
      <c r="AJ65" s="23">
        <f>COUNTA($D$64:$AH$64)</f>
        <v>31</v>
      </c>
      <c r="AK65" s="23">
        <f>COUNTIF(D65:AH65, TRUE)</f>
        <v>0</v>
      </c>
      <c r="AL65" s="24">
        <f>AK65/AJ65</f>
        <v>0</v>
      </c>
    </row>
    <row r="66" spans="3:38" ht="22.5" customHeight="1" x14ac:dyDescent="0.25">
      <c r="C66" s="148" t="s">
        <v>15</v>
      </c>
      <c r="D66" s="149" t="b">
        <v>0</v>
      </c>
      <c r="E66" s="150" t="b">
        <v>0</v>
      </c>
      <c r="F66" s="150" t="b">
        <v>0</v>
      </c>
      <c r="G66" s="150" t="b">
        <v>0</v>
      </c>
      <c r="H66" s="150" t="b">
        <v>0</v>
      </c>
      <c r="I66" s="150" t="b">
        <v>0</v>
      </c>
      <c r="J66" s="151" t="b">
        <v>0</v>
      </c>
      <c r="K66" s="149" t="b">
        <v>0</v>
      </c>
      <c r="L66" s="150" t="b">
        <v>0</v>
      </c>
      <c r="M66" s="150" t="b">
        <v>0</v>
      </c>
      <c r="N66" s="150" t="b">
        <v>0</v>
      </c>
      <c r="O66" s="150" t="b">
        <v>0</v>
      </c>
      <c r="P66" s="150" t="b">
        <v>0</v>
      </c>
      <c r="Q66" s="151" t="b">
        <v>0</v>
      </c>
      <c r="R66" s="149" t="b">
        <v>0</v>
      </c>
      <c r="S66" s="150" t="b">
        <v>0</v>
      </c>
      <c r="T66" s="150" t="b">
        <v>0</v>
      </c>
      <c r="U66" s="150" t="b">
        <v>0</v>
      </c>
      <c r="V66" s="150" t="b">
        <v>0</v>
      </c>
      <c r="W66" s="150" t="b">
        <v>0</v>
      </c>
      <c r="X66" s="151" t="b">
        <v>0</v>
      </c>
      <c r="Y66" s="149" t="b">
        <v>0</v>
      </c>
      <c r="Z66" s="150" t="b">
        <v>0</v>
      </c>
      <c r="AA66" s="150" t="b">
        <v>0</v>
      </c>
      <c r="AB66" s="150" t="b">
        <v>0</v>
      </c>
      <c r="AC66" s="150" t="b">
        <v>0</v>
      </c>
      <c r="AD66" s="150" t="b">
        <v>0</v>
      </c>
      <c r="AE66" s="151" t="b">
        <v>0</v>
      </c>
      <c r="AF66" s="149" t="b">
        <v>0</v>
      </c>
      <c r="AG66" s="150" t="b">
        <v>0</v>
      </c>
      <c r="AH66" s="151" t="b">
        <v>0</v>
      </c>
      <c r="AJ66" s="23">
        <f t="shared" ref="AJ66:AJ71" si="11">COUNTA($D$64:$AH$64)</f>
        <v>31</v>
      </c>
      <c r="AK66" s="23">
        <f t="shared" ref="AK66:AK71" si="12">COUNTIF(D66:AH66, TRUE)</f>
        <v>0</v>
      </c>
      <c r="AL66" s="24">
        <f t="shared" ref="AL66:AL71" si="13">AK66/AJ66</f>
        <v>0</v>
      </c>
    </row>
    <row r="67" spans="3:38" ht="22.5" customHeight="1" x14ac:dyDescent="0.25">
      <c r="C67" s="148" t="s">
        <v>16</v>
      </c>
      <c r="D67" s="149" t="b">
        <v>0</v>
      </c>
      <c r="E67" s="150" t="b">
        <v>0</v>
      </c>
      <c r="F67" s="150" t="b">
        <v>0</v>
      </c>
      <c r="G67" s="150" t="b">
        <v>0</v>
      </c>
      <c r="H67" s="150" t="b">
        <v>0</v>
      </c>
      <c r="I67" s="150" t="b">
        <v>0</v>
      </c>
      <c r="J67" s="151" t="b">
        <v>0</v>
      </c>
      <c r="K67" s="149" t="b">
        <v>0</v>
      </c>
      <c r="L67" s="150" t="b">
        <v>0</v>
      </c>
      <c r="M67" s="150" t="b">
        <v>0</v>
      </c>
      <c r="N67" s="150" t="b">
        <v>0</v>
      </c>
      <c r="O67" s="150" t="b">
        <v>0</v>
      </c>
      <c r="P67" s="150" t="b">
        <v>0</v>
      </c>
      <c r="Q67" s="151" t="b">
        <v>0</v>
      </c>
      <c r="R67" s="149" t="b">
        <v>0</v>
      </c>
      <c r="S67" s="150" t="b">
        <v>0</v>
      </c>
      <c r="T67" s="150" t="b">
        <v>0</v>
      </c>
      <c r="U67" s="150" t="b">
        <v>0</v>
      </c>
      <c r="V67" s="150" t="b">
        <v>0</v>
      </c>
      <c r="W67" s="150" t="b">
        <v>0</v>
      </c>
      <c r="X67" s="151" t="b">
        <v>0</v>
      </c>
      <c r="Y67" s="149" t="b">
        <v>0</v>
      </c>
      <c r="Z67" s="150" t="b">
        <v>0</v>
      </c>
      <c r="AA67" s="150" t="b">
        <v>0</v>
      </c>
      <c r="AB67" s="150" t="b">
        <v>0</v>
      </c>
      <c r="AC67" s="150" t="b">
        <v>0</v>
      </c>
      <c r="AD67" s="150" t="b">
        <v>0</v>
      </c>
      <c r="AE67" s="151" t="b">
        <v>0</v>
      </c>
      <c r="AF67" s="149" t="b">
        <v>0</v>
      </c>
      <c r="AG67" s="150" t="b">
        <v>0</v>
      </c>
      <c r="AH67" s="151" t="b">
        <v>0</v>
      </c>
      <c r="AJ67" s="23">
        <f t="shared" si="11"/>
        <v>31</v>
      </c>
      <c r="AK67" s="23">
        <f>COUNTIF(D67:AH67, TRUE)</f>
        <v>0</v>
      </c>
      <c r="AL67" s="24">
        <f t="shared" si="13"/>
        <v>0</v>
      </c>
    </row>
    <row r="68" spans="3:38" ht="22.5" customHeight="1" x14ac:dyDescent="0.25">
      <c r="C68" s="148" t="s">
        <v>17</v>
      </c>
      <c r="D68" s="149" t="b">
        <v>0</v>
      </c>
      <c r="E68" s="150" t="b">
        <v>0</v>
      </c>
      <c r="F68" s="150" t="b">
        <v>0</v>
      </c>
      <c r="G68" s="150" t="b">
        <v>0</v>
      </c>
      <c r="H68" s="150" t="b">
        <v>0</v>
      </c>
      <c r="I68" s="150" t="b">
        <v>0</v>
      </c>
      <c r="J68" s="151" t="b">
        <v>0</v>
      </c>
      <c r="K68" s="149" t="b">
        <v>0</v>
      </c>
      <c r="L68" s="150" t="b">
        <v>0</v>
      </c>
      <c r="M68" s="150" t="b">
        <v>0</v>
      </c>
      <c r="N68" s="150" t="b">
        <v>0</v>
      </c>
      <c r="O68" s="150" t="b">
        <v>0</v>
      </c>
      <c r="P68" s="150" t="b">
        <v>0</v>
      </c>
      <c r="Q68" s="151" t="b">
        <v>0</v>
      </c>
      <c r="R68" s="149" t="b">
        <v>0</v>
      </c>
      <c r="S68" s="150" t="b">
        <v>0</v>
      </c>
      <c r="T68" s="150" t="b">
        <v>0</v>
      </c>
      <c r="U68" s="150" t="b">
        <v>0</v>
      </c>
      <c r="V68" s="150" t="b">
        <v>0</v>
      </c>
      <c r="W68" s="150" t="b">
        <v>0</v>
      </c>
      <c r="X68" s="151" t="b">
        <v>0</v>
      </c>
      <c r="Y68" s="149" t="b">
        <v>0</v>
      </c>
      <c r="Z68" s="150" t="b">
        <v>0</v>
      </c>
      <c r="AA68" s="150" t="b">
        <v>0</v>
      </c>
      <c r="AB68" s="150" t="b">
        <v>0</v>
      </c>
      <c r="AC68" s="150" t="b">
        <v>0</v>
      </c>
      <c r="AD68" s="150" t="b">
        <v>0</v>
      </c>
      <c r="AE68" s="151" t="b">
        <v>0</v>
      </c>
      <c r="AF68" s="149" t="b">
        <v>0</v>
      </c>
      <c r="AG68" s="150" t="b">
        <v>0</v>
      </c>
      <c r="AH68" s="151" t="b">
        <v>0</v>
      </c>
      <c r="AJ68" s="23">
        <f t="shared" si="11"/>
        <v>31</v>
      </c>
      <c r="AK68" s="23">
        <f t="shared" ref="AK68:AK71" si="14">COUNTIF(D68:AH68, TRUE)</f>
        <v>0</v>
      </c>
      <c r="AL68" s="24">
        <f t="shared" si="13"/>
        <v>0</v>
      </c>
    </row>
    <row r="69" spans="3:38" ht="22.5" customHeight="1" x14ac:dyDescent="0.25">
      <c r="C69" s="148" t="s">
        <v>19</v>
      </c>
      <c r="D69" s="149" t="b">
        <v>0</v>
      </c>
      <c r="E69" s="150" t="b">
        <v>0</v>
      </c>
      <c r="F69" s="150" t="b">
        <v>0</v>
      </c>
      <c r="G69" s="150" t="b">
        <v>0</v>
      </c>
      <c r="H69" s="150" t="b">
        <v>0</v>
      </c>
      <c r="I69" s="150" t="b">
        <v>0</v>
      </c>
      <c r="J69" s="151" t="b">
        <v>0</v>
      </c>
      <c r="K69" s="149" t="b">
        <v>0</v>
      </c>
      <c r="L69" s="150" t="b">
        <v>0</v>
      </c>
      <c r="M69" s="150" t="b">
        <v>0</v>
      </c>
      <c r="N69" s="150" t="b">
        <v>0</v>
      </c>
      <c r="O69" s="150" t="b">
        <v>0</v>
      </c>
      <c r="P69" s="150" t="b">
        <v>0</v>
      </c>
      <c r="Q69" s="151" t="b">
        <v>0</v>
      </c>
      <c r="R69" s="149" t="b">
        <v>0</v>
      </c>
      <c r="S69" s="150" t="b">
        <v>0</v>
      </c>
      <c r="T69" s="150" t="b">
        <v>0</v>
      </c>
      <c r="U69" s="150" t="b">
        <v>0</v>
      </c>
      <c r="V69" s="150" t="b">
        <v>0</v>
      </c>
      <c r="W69" s="150" t="b">
        <v>0</v>
      </c>
      <c r="X69" s="151" t="b">
        <v>0</v>
      </c>
      <c r="Y69" s="149" t="b">
        <v>0</v>
      </c>
      <c r="Z69" s="150" t="b">
        <v>0</v>
      </c>
      <c r="AA69" s="150" t="b">
        <v>0</v>
      </c>
      <c r="AB69" s="150" t="b">
        <v>0</v>
      </c>
      <c r="AC69" s="150" t="b">
        <v>0</v>
      </c>
      <c r="AD69" s="150" t="b">
        <v>0</v>
      </c>
      <c r="AE69" s="151" t="b">
        <v>0</v>
      </c>
      <c r="AF69" s="149" t="b">
        <v>0</v>
      </c>
      <c r="AG69" s="150" t="b">
        <v>0</v>
      </c>
      <c r="AH69" s="151" t="b">
        <v>0</v>
      </c>
      <c r="AJ69" s="23">
        <f t="shared" si="11"/>
        <v>31</v>
      </c>
      <c r="AK69" s="23">
        <f t="shared" si="14"/>
        <v>0</v>
      </c>
      <c r="AL69" s="24">
        <f t="shared" si="13"/>
        <v>0</v>
      </c>
    </row>
    <row r="70" spans="3:38" ht="22.5" customHeight="1" x14ac:dyDescent="0.25">
      <c r="C70" s="148" t="s">
        <v>20</v>
      </c>
      <c r="D70" s="149" t="b">
        <v>0</v>
      </c>
      <c r="E70" s="150" t="b">
        <v>0</v>
      </c>
      <c r="F70" s="150" t="b">
        <v>0</v>
      </c>
      <c r="G70" s="150" t="b">
        <v>0</v>
      </c>
      <c r="H70" s="150" t="b">
        <v>0</v>
      </c>
      <c r="I70" s="150" t="b">
        <v>0</v>
      </c>
      <c r="J70" s="151" t="b">
        <v>0</v>
      </c>
      <c r="K70" s="149" t="b">
        <v>0</v>
      </c>
      <c r="L70" s="150" t="b">
        <v>0</v>
      </c>
      <c r="M70" s="150" t="b">
        <v>0</v>
      </c>
      <c r="N70" s="150" t="b">
        <v>0</v>
      </c>
      <c r="O70" s="150" t="b">
        <v>0</v>
      </c>
      <c r="P70" s="150" t="b">
        <v>0</v>
      </c>
      <c r="Q70" s="151" t="b">
        <v>0</v>
      </c>
      <c r="R70" s="149" t="b">
        <v>0</v>
      </c>
      <c r="S70" s="150" t="b">
        <v>0</v>
      </c>
      <c r="T70" s="150" t="b">
        <v>0</v>
      </c>
      <c r="U70" s="150" t="b">
        <v>0</v>
      </c>
      <c r="V70" s="150" t="b">
        <v>0</v>
      </c>
      <c r="W70" s="150" t="b">
        <v>0</v>
      </c>
      <c r="X70" s="151" t="b">
        <v>0</v>
      </c>
      <c r="Y70" s="149" t="b">
        <v>0</v>
      </c>
      <c r="Z70" s="150" t="b">
        <v>0</v>
      </c>
      <c r="AA70" s="150" t="b">
        <v>0</v>
      </c>
      <c r="AB70" s="150" t="b">
        <v>0</v>
      </c>
      <c r="AC70" s="150" t="b">
        <v>0</v>
      </c>
      <c r="AD70" s="150" t="b">
        <v>0</v>
      </c>
      <c r="AE70" s="151" t="b">
        <v>0</v>
      </c>
      <c r="AF70" s="149" t="b">
        <v>0</v>
      </c>
      <c r="AG70" s="150" t="b">
        <v>0</v>
      </c>
      <c r="AH70" s="151" t="b">
        <v>0</v>
      </c>
      <c r="AJ70" s="23">
        <f t="shared" si="11"/>
        <v>31</v>
      </c>
      <c r="AK70" s="23">
        <f t="shared" si="14"/>
        <v>0</v>
      </c>
      <c r="AL70" s="24">
        <f t="shared" si="13"/>
        <v>0</v>
      </c>
    </row>
    <row r="71" spans="3:38" ht="22.5" customHeight="1" x14ac:dyDescent="0.25">
      <c r="C71" s="152" t="s">
        <v>18</v>
      </c>
      <c r="D71" s="153" t="b">
        <v>0</v>
      </c>
      <c r="E71" s="154" t="b">
        <v>0</v>
      </c>
      <c r="F71" s="154" t="b">
        <v>0</v>
      </c>
      <c r="G71" s="154" t="b">
        <v>0</v>
      </c>
      <c r="H71" s="154" t="b">
        <v>0</v>
      </c>
      <c r="I71" s="154" t="b">
        <v>0</v>
      </c>
      <c r="J71" s="155" t="b">
        <v>0</v>
      </c>
      <c r="K71" s="153" t="b">
        <v>0</v>
      </c>
      <c r="L71" s="154" t="b">
        <v>0</v>
      </c>
      <c r="M71" s="154" t="b">
        <v>0</v>
      </c>
      <c r="N71" s="154" t="b">
        <v>0</v>
      </c>
      <c r="O71" s="154" t="b">
        <v>0</v>
      </c>
      <c r="P71" s="154" t="b">
        <v>0</v>
      </c>
      <c r="Q71" s="155" t="b">
        <v>0</v>
      </c>
      <c r="R71" s="153" t="b">
        <v>0</v>
      </c>
      <c r="S71" s="154" t="b">
        <v>0</v>
      </c>
      <c r="T71" s="154" t="b">
        <v>0</v>
      </c>
      <c r="U71" s="154" t="b">
        <v>0</v>
      </c>
      <c r="V71" s="154" t="b">
        <v>0</v>
      </c>
      <c r="W71" s="154" t="b">
        <v>0</v>
      </c>
      <c r="X71" s="155" t="b">
        <v>0</v>
      </c>
      <c r="Y71" s="153" t="b">
        <v>0</v>
      </c>
      <c r="Z71" s="154" t="b">
        <v>0</v>
      </c>
      <c r="AA71" s="154" t="b">
        <v>0</v>
      </c>
      <c r="AB71" s="154" t="b">
        <v>0</v>
      </c>
      <c r="AC71" s="154" t="b">
        <v>0</v>
      </c>
      <c r="AD71" s="154" t="b">
        <v>0</v>
      </c>
      <c r="AE71" s="155" t="b">
        <v>0</v>
      </c>
      <c r="AF71" s="153" t="b">
        <v>0</v>
      </c>
      <c r="AG71" s="154" t="b">
        <v>0</v>
      </c>
      <c r="AH71" s="155" t="b">
        <v>0</v>
      </c>
      <c r="AJ71" s="23">
        <f t="shared" si="11"/>
        <v>31</v>
      </c>
      <c r="AK71" s="23">
        <f t="shared" si="14"/>
        <v>0</v>
      </c>
      <c r="AL71" s="24">
        <f t="shared" si="13"/>
        <v>0</v>
      </c>
    </row>
    <row r="73" spans="3:38" ht="22.5" customHeight="1" x14ac:dyDescent="0.25">
      <c r="C73" s="82"/>
      <c r="D73" s="118" t="s">
        <v>47</v>
      </c>
      <c r="E73" s="118"/>
      <c r="F73" s="118"/>
      <c r="G73" s="118"/>
      <c r="H73" s="118"/>
      <c r="I73" s="118"/>
      <c r="J73" s="118"/>
      <c r="K73" s="83"/>
      <c r="L73" s="83"/>
      <c r="M73" s="83"/>
      <c r="N73" s="84" t="s">
        <v>21</v>
      </c>
      <c r="O73" s="83"/>
      <c r="P73" s="83"/>
      <c r="Q73" s="83"/>
      <c r="R73" s="83"/>
      <c r="S73" s="84" t="s">
        <v>23</v>
      </c>
      <c r="T73" s="83"/>
      <c r="U73" s="85"/>
      <c r="V73" s="83"/>
      <c r="W73" s="83"/>
      <c r="X73" s="84" t="s">
        <v>27</v>
      </c>
      <c r="Y73" s="83"/>
      <c r="Z73" s="83"/>
      <c r="AA73" s="83"/>
      <c r="AB73" s="84" t="s">
        <v>28</v>
      </c>
      <c r="AC73" s="83"/>
      <c r="AD73" s="83"/>
      <c r="AE73" s="83"/>
      <c r="AF73" s="83"/>
      <c r="AG73" s="83"/>
    </row>
    <row r="74" spans="3:38" ht="22.5" customHeight="1" x14ac:dyDescent="0.25">
      <c r="C74" s="87"/>
      <c r="D74" s="119"/>
      <c r="E74" s="119"/>
      <c r="F74" s="119"/>
      <c r="G74" s="119"/>
      <c r="H74" s="119"/>
      <c r="I74" s="119"/>
      <c r="J74" s="119"/>
      <c r="K74" s="88"/>
      <c r="L74" s="88"/>
      <c r="M74" s="88"/>
      <c r="N74" s="89">
        <f>COUNTA(C79:C85)</f>
        <v>7</v>
      </c>
      <c r="O74" s="88"/>
      <c r="P74" s="88"/>
      <c r="Q74" s="88"/>
      <c r="R74" s="88"/>
      <c r="S74" s="89">
        <f>COUNTIF(D79:AG85,TRUE)</f>
        <v>0</v>
      </c>
      <c r="T74" s="88"/>
      <c r="U74" s="90"/>
      <c r="V74" s="88"/>
      <c r="W74" s="120">
        <f>COUNTIF(D79:AG85, TRUE)/(COUNTA(D78:AG78)*COUNTA(C79:C85))</f>
        <v>0</v>
      </c>
      <c r="X74" s="120"/>
      <c r="Y74" s="120"/>
      <c r="Z74" s="88"/>
      <c r="AA74" s="88"/>
      <c r="AB74" s="91">
        <f>COUNTIF(D79:AG85, TRUE)/(COUNTA(D78:AG78)*COUNTA(C79:C85))</f>
        <v>0</v>
      </c>
      <c r="AC74" s="88"/>
      <c r="AD74" s="88"/>
      <c r="AE74" s="88"/>
      <c r="AF74" s="88"/>
      <c r="AG74" s="88"/>
    </row>
    <row r="76" spans="3:38" ht="22.5" customHeight="1" x14ac:dyDescent="0.25">
      <c r="C76" s="139" t="s">
        <v>1</v>
      </c>
      <c r="D76" s="140" t="s">
        <v>9</v>
      </c>
      <c r="E76" s="140"/>
      <c r="F76" s="140"/>
      <c r="G76" s="140"/>
      <c r="H76" s="140"/>
      <c r="I76" s="140"/>
      <c r="J76" s="140"/>
      <c r="K76" s="140" t="s">
        <v>10</v>
      </c>
      <c r="L76" s="140"/>
      <c r="M76" s="140"/>
      <c r="N76" s="140"/>
      <c r="O76" s="140"/>
      <c r="P76" s="140"/>
      <c r="Q76" s="140"/>
      <c r="R76" s="140" t="s">
        <v>11</v>
      </c>
      <c r="S76" s="140"/>
      <c r="T76" s="140"/>
      <c r="U76" s="140"/>
      <c r="V76" s="140"/>
      <c r="W76" s="140"/>
      <c r="X76" s="140"/>
      <c r="Y76" s="140" t="s">
        <v>12</v>
      </c>
      <c r="Z76" s="140"/>
      <c r="AA76" s="140"/>
      <c r="AB76" s="140"/>
      <c r="AC76" s="140"/>
      <c r="AD76" s="140"/>
      <c r="AE76" s="140"/>
      <c r="AF76" s="141" t="s">
        <v>13</v>
      </c>
      <c r="AG76" s="142"/>
      <c r="AI76" s="124" t="s">
        <v>24</v>
      </c>
      <c r="AJ76" s="124"/>
      <c r="AK76" s="124"/>
    </row>
    <row r="77" spans="3:38" ht="22.5" customHeight="1" x14ac:dyDescent="0.25">
      <c r="C77" s="139"/>
      <c r="D77" s="143" t="s">
        <v>4</v>
      </c>
      <c r="E77" s="143" t="s">
        <v>5</v>
      </c>
      <c r="F77" s="143" t="s">
        <v>44</v>
      </c>
      <c r="G77" s="143" t="s">
        <v>7</v>
      </c>
      <c r="H77" s="143" t="s">
        <v>8</v>
      </c>
      <c r="I77" s="143" t="s">
        <v>2</v>
      </c>
      <c r="J77" s="143" t="s">
        <v>3</v>
      </c>
      <c r="K77" s="143" t="s">
        <v>4</v>
      </c>
      <c r="L77" s="143" t="s">
        <v>5</v>
      </c>
      <c r="M77" s="143" t="s">
        <v>44</v>
      </c>
      <c r="N77" s="143" t="s">
        <v>7</v>
      </c>
      <c r="O77" s="143" t="s">
        <v>8</v>
      </c>
      <c r="P77" s="143" t="s">
        <v>2</v>
      </c>
      <c r="Q77" s="143" t="s">
        <v>3</v>
      </c>
      <c r="R77" s="143" t="s">
        <v>4</v>
      </c>
      <c r="S77" s="143" t="s">
        <v>5</v>
      </c>
      <c r="T77" s="143" t="s">
        <v>44</v>
      </c>
      <c r="U77" s="143" t="s">
        <v>7</v>
      </c>
      <c r="V77" s="143" t="s">
        <v>8</v>
      </c>
      <c r="W77" s="143" t="s">
        <v>2</v>
      </c>
      <c r="X77" s="143" t="s">
        <v>3</v>
      </c>
      <c r="Y77" s="143" t="s">
        <v>4</v>
      </c>
      <c r="Z77" s="143" t="s">
        <v>5</v>
      </c>
      <c r="AA77" s="143" t="s">
        <v>44</v>
      </c>
      <c r="AB77" s="143" t="s">
        <v>7</v>
      </c>
      <c r="AC77" s="143" t="s">
        <v>8</v>
      </c>
      <c r="AD77" s="143" t="s">
        <v>2</v>
      </c>
      <c r="AE77" s="143" t="s">
        <v>3</v>
      </c>
      <c r="AF77" s="143" t="s">
        <v>4</v>
      </c>
      <c r="AG77" s="143" t="s">
        <v>5</v>
      </c>
      <c r="AI77" s="124"/>
      <c r="AJ77" s="124"/>
      <c r="AK77" s="124"/>
    </row>
    <row r="78" spans="3:38" ht="22.5" customHeight="1" x14ac:dyDescent="0.25">
      <c r="C78" s="139"/>
      <c r="D78" s="143">
        <v>1</v>
      </c>
      <c r="E78" s="143">
        <v>2</v>
      </c>
      <c r="F78" s="143">
        <v>3</v>
      </c>
      <c r="G78" s="143">
        <v>4</v>
      </c>
      <c r="H78" s="143">
        <v>5</v>
      </c>
      <c r="I78" s="143">
        <v>6</v>
      </c>
      <c r="J78" s="143">
        <v>7</v>
      </c>
      <c r="K78" s="143">
        <v>8</v>
      </c>
      <c r="L78" s="143">
        <v>9</v>
      </c>
      <c r="M78" s="143">
        <v>10</v>
      </c>
      <c r="N78" s="143">
        <v>11</v>
      </c>
      <c r="O78" s="143">
        <v>12</v>
      </c>
      <c r="P78" s="143">
        <v>13</v>
      </c>
      <c r="Q78" s="143">
        <v>14</v>
      </c>
      <c r="R78" s="143">
        <v>15</v>
      </c>
      <c r="S78" s="143">
        <v>16</v>
      </c>
      <c r="T78" s="143">
        <v>17</v>
      </c>
      <c r="U78" s="143">
        <v>18</v>
      </c>
      <c r="V78" s="143">
        <v>19</v>
      </c>
      <c r="W78" s="143">
        <v>20</v>
      </c>
      <c r="X78" s="143">
        <v>21</v>
      </c>
      <c r="Y78" s="143">
        <v>22</v>
      </c>
      <c r="Z78" s="143">
        <v>23</v>
      </c>
      <c r="AA78" s="143">
        <v>24</v>
      </c>
      <c r="AB78" s="143">
        <v>25</v>
      </c>
      <c r="AC78" s="143">
        <v>26</v>
      </c>
      <c r="AD78" s="143">
        <v>27</v>
      </c>
      <c r="AE78" s="143">
        <v>28</v>
      </c>
      <c r="AF78" s="143">
        <v>29</v>
      </c>
      <c r="AG78" s="143">
        <v>30</v>
      </c>
      <c r="AI78" s="116" t="s">
        <v>25</v>
      </c>
      <c r="AJ78" s="116" t="s">
        <v>26</v>
      </c>
      <c r="AK78" s="116" t="s">
        <v>27</v>
      </c>
    </row>
    <row r="79" spans="3:38" ht="22.5" customHeight="1" x14ac:dyDescent="0.25">
      <c r="C79" s="144" t="s">
        <v>14</v>
      </c>
      <c r="D79" s="145" t="b">
        <v>0</v>
      </c>
      <c r="E79" s="146" t="b">
        <v>0</v>
      </c>
      <c r="F79" s="146" t="b">
        <v>0</v>
      </c>
      <c r="G79" s="146" t="b">
        <v>0</v>
      </c>
      <c r="H79" s="146" t="b">
        <v>0</v>
      </c>
      <c r="I79" s="146" t="b">
        <v>0</v>
      </c>
      <c r="J79" s="147" t="b">
        <v>0</v>
      </c>
      <c r="K79" s="145" t="b">
        <v>0</v>
      </c>
      <c r="L79" s="146" t="b">
        <v>0</v>
      </c>
      <c r="M79" s="146" t="b">
        <v>0</v>
      </c>
      <c r="N79" s="146" t="b">
        <v>0</v>
      </c>
      <c r="O79" s="146" t="b">
        <v>0</v>
      </c>
      <c r="P79" s="146" t="b">
        <v>0</v>
      </c>
      <c r="Q79" s="147" t="b">
        <v>0</v>
      </c>
      <c r="R79" s="145" t="b">
        <v>0</v>
      </c>
      <c r="S79" s="146" t="b">
        <v>0</v>
      </c>
      <c r="T79" s="146" t="b">
        <v>0</v>
      </c>
      <c r="U79" s="146" t="b">
        <v>0</v>
      </c>
      <c r="V79" s="146" t="b">
        <v>0</v>
      </c>
      <c r="W79" s="146" t="b">
        <v>0</v>
      </c>
      <c r="X79" s="147" t="b">
        <v>0</v>
      </c>
      <c r="Y79" s="145" t="b">
        <v>0</v>
      </c>
      <c r="Z79" s="146" t="b">
        <v>0</v>
      </c>
      <c r="AA79" s="146" t="b">
        <v>0</v>
      </c>
      <c r="AB79" s="146" t="b">
        <v>0</v>
      </c>
      <c r="AC79" s="146" t="b">
        <v>0</v>
      </c>
      <c r="AD79" s="146" t="b">
        <v>0</v>
      </c>
      <c r="AE79" s="147" t="b">
        <v>0</v>
      </c>
      <c r="AF79" s="145" t="b">
        <v>0</v>
      </c>
      <c r="AG79" s="147" t="b">
        <v>0</v>
      </c>
      <c r="AI79" s="23">
        <f>COUNTA($D$78:$AG$78)</f>
        <v>30</v>
      </c>
      <c r="AJ79" s="23">
        <f>COUNTIF(D79:AG79, TRUE)</f>
        <v>0</v>
      </c>
      <c r="AK79" s="24">
        <f>AJ79/AI79</f>
        <v>0</v>
      </c>
    </row>
    <row r="80" spans="3:38" ht="22.5" customHeight="1" x14ac:dyDescent="0.25">
      <c r="C80" s="148" t="s">
        <v>15</v>
      </c>
      <c r="D80" s="149" t="b">
        <v>0</v>
      </c>
      <c r="E80" s="150" t="b">
        <v>0</v>
      </c>
      <c r="F80" s="150" t="b">
        <v>0</v>
      </c>
      <c r="G80" s="150" t="b">
        <v>0</v>
      </c>
      <c r="H80" s="150" t="b">
        <v>0</v>
      </c>
      <c r="I80" s="150" t="b">
        <v>0</v>
      </c>
      <c r="J80" s="151" t="b">
        <v>0</v>
      </c>
      <c r="K80" s="149" t="b">
        <v>0</v>
      </c>
      <c r="L80" s="150" t="b">
        <v>0</v>
      </c>
      <c r="M80" s="150" t="b">
        <v>0</v>
      </c>
      <c r="N80" s="150" t="b">
        <v>0</v>
      </c>
      <c r="O80" s="150" t="b">
        <v>0</v>
      </c>
      <c r="P80" s="150" t="b">
        <v>0</v>
      </c>
      <c r="Q80" s="151" t="b">
        <v>0</v>
      </c>
      <c r="R80" s="149" t="b">
        <v>0</v>
      </c>
      <c r="S80" s="150" t="b">
        <v>0</v>
      </c>
      <c r="T80" s="150" t="b">
        <v>0</v>
      </c>
      <c r="U80" s="150" t="b">
        <v>0</v>
      </c>
      <c r="V80" s="150" t="b">
        <v>0</v>
      </c>
      <c r="W80" s="150" t="b">
        <v>0</v>
      </c>
      <c r="X80" s="151" t="b">
        <v>0</v>
      </c>
      <c r="Y80" s="149" t="b">
        <v>0</v>
      </c>
      <c r="Z80" s="150" t="b">
        <v>0</v>
      </c>
      <c r="AA80" s="150" t="b">
        <v>0</v>
      </c>
      <c r="AB80" s="150" t="b">
        <v>0</v>
      </c>
      <c r="AC80" s="150" t="b">
        <v>0</v>
      </c>
      <c r="AD80" s="150" t="b">
        <v>0</v>
      </c>
      <c r="AE80" s="151" t="b">
        <v>0</v>
      </c>
      <c r="AF80" s="149" t="b">
        <v>0</v>
      </c>
      <c r="AG80" s="151" t="b">
        <v>0</v>
      </c>
      <c r="AI80" s="23">
        <f t="shared" ref="AI80:AI85" si="15">COUNTA($D$78:$AG$78)</f>
        <v>30</v>
      </c>
      <c r="AJ80" s="23">
        <f>COUNTIF(D80:AG80, TRUE)</f>
        <v>0</v>
      </c>
      <c r="AK80" s="24">
        <f t="shared" ref="AK80:AK85" si="16">AJ80/AI80</f>
        <v>0</v>
      </c>
    </row>
    <row r="81" spans="3:38" ht="22.5" customHeight="1" x14ac:dyDescent="0.25">
      <c r="C81" s="148" t="s">
        <v>16</v>
      </c>
      <c r="D81" s="149" t="b">
        <v>0</v>
      </c>
      <c r="E81" s="150" t="b">
        <v>0</v>
      </c>
      <c r="F81" s="150" t="b">
        <v>0</v>
      </c>
      <c r="G81" s="150" t="b">
        <v>0</v>
      </c>
      <c r="H81" s="150" t="b">
        <v>0</v>
      </c>
      <c r="I81" s="150" t="b">
        <v>0</v>
      </c>
      <c r="J81" s="151" t="b">
        <v>0</v>
      </c>
      <c r="K81" s="149" t="b">
        <v>0</v>
      </c>
      <c r="L81" s="150" t="b">
        <v>0</v>
      </c>
      <c r="M81" s="150" t="b">
        <v>0</v>
      </c>
      <c r="N81" s="150" t="b">
        <v>0</v>
      </c>
      <c r="O81" s="150" t="b">
        <v>0</v>
      </c>
      <c r="P81" s="150" t="b">
        <v>0</v>
      </c>
      <c r="Q81" s="151" t="b">
        <v>0</v>
      </c>
      <c r="R81" s="149" t="b">
        <v>0</v>
      </c>
      <c r="S81" s="150" t="b">
        <v>0</v>
      </c>
      <c r="T81" s="150" t="b">
        <v>0</v>
      </c>
      <c r="U81" s="150" t="b">
        <v>0</v>
      </c>
      <c r="V81" s="150" t="b">
        <v>0</v>
      </c>
      <c r="W81" s="150" t="b">
        <v>0</v>
      </c>
      <c r="X81" s="151" t="b">
        <v>0</v>
      </c>
      <c r="Y81" s="149" t="b">
        <v>0</v>
      </c>
      <c r="Z81" s="150" t="b">
        <v>0</v>
      </c>
      <c r="AA81" s="150" t="b">
        <v>0</v>
      </c>
      <c r="AB81" s="150" t="b">
        <v>0</v>
      </c>
      <c r="AC81" s="150" t="b">
        <v>0</v>
      </c>
      <c r="AD81" s="150" t="b">
        <v>0</v>
      </c>
      <c r="AE81" s="151" t="b">
        <v>0</v>
      </c>
      <c r="AF81" s="149" t="b">
        <v>0</v>
      </c>
      <c r="AG81" s="151" t="b">
        <v>0</v>
      </c>
      <c r="AI81" s="23">
        <f t="shared" si="15"/>
        <v>30</v>
      </c>
      <c r="AJ81" s="23">
        <f>COUNTIF(D81:AG81, TRUE)</f>
        <v>0</v>
      </c>
      <c r="AK81" s="24">
        <f t="shared" si="16"/>
        <v>0</v>
      </c>
    </row>
    <row r="82" spans="3:38" ht="22.5" customHeight="1" x14ac:dyDescent="0.25">
      <c r="C82" s="148" t="s">
        <v>17</v>
      </c>
      <c r="D82" s="149" t="b">
        <v>0</v>
      </c>
      <c r="E82" s="150" t="b">
        <v>0</v>
      </c>
      <c r="F82" s="150" t="b">
        <v>0</v>
      </c>
      <c r="G82" s="150" t="b">
        <v>0</v>
      </c>
      <c r="H82" s="150" t="b">
        <v>0</v>
      </c>
      <c r="I82" s="150" t="b">
        <v>0</v>
      </c>
      <c r="J82" s="151" t="b">
        <v>0</v>
      </c>
      <c r="K82" s="149" t="b">
        <v>0</v>
      </c>
      <c r="L82" s="150" t="b">
        <v>0</v>
      </c>
      <c r="M82" s="150" t="b">
        <v>0</v>
      </c>
      <c r="N82" s="150" t="b">
        <v>0</v>
      </c>
      <c r="O82" s="150" t="b">
        <v>0</v>
      </c>
      <c r="P82" s="150" t="b">
        <v>0</v>
      </c>
      <c r="Q82" s="151" t="b">
        <v>0</v>
      </c>
      <c r="R82" s="149" t="b">
        <v>0</v>
      </c>
      <c r="S82" s="150" t="b">
        <v>0</v>
      </c>
      <c r="T82" s="150" t="b">
        <v>0</v>
      </c>
      <c r="U82" s="150" t="b">
        <v>0</v>
      </c>
      <c r="V82" s="150" t="b">
        <v>0</v>
      </c>
      <c r="W82" s="150" t="b">
        <v>0</v>
      </c>
      <c r="X82" s="151" t="b">
        <v>0</v>
      </c>
      <c r="Y82" s="149" t="b">
        <v>0</v>
      </c>
      <c r="Z82" s="150" t="b">
        <v>0</v>
      </c>
      <c r="AA82" s="150" t="b">
        <v>0</v>
      </c>
      <c r="AB82" s="150" t="b">
        <v>0</v>
      </c>
      <c r="AC82" s="150" t="b">
        <v>0</v>
      </c>
      <c r="AD82" s="150" t="b">
        <v>0</v>
      </c>
      <c r="AE82" s="151" t="b">
        <v>0</v>
      </c>
      <c r="AF82" s="149" t="b">
        <v>0</v>
      </c>
      <c r="AG82" s="151" t="b">
        <v>0</v>
      </c>
      <c r="AI82" s="23">
        <f t="shared" si="15"/>
        <v>30</v>
      </c>
      <c r="AJ82" s="23">
        <f>COUNTIF(D82:AG82, TRUE)</f>
        <v>0</v>
      </c>
      <c r="AK82" s="24">
        <f t="shared" si="16"/>
        <v>0</v>
      </c>
    </row>
    <row r="83" spans="3:38" ht="22.5" customHeight="1" x14ac:dyDescent="0.25">
      <c r="C83" s="148" t="s">
        <v>19</v>
      </c>
      <c r="D83" s="149" t="b">
        <v>0</v>
      </c>
      <c r="E83" s="150" t="b">
        <v>0</v>
      </c>
      <c r="F83" s="150" t="b">
        <v>0</v>
      </c>
      <c r="G83" s="150" t="b">
        <v>0</v>
      </c>
      <c r="H83" s="150" t="b">
        <v>0</v>
      </c>
      <c r="I83" s="150" t="b">
        <v>0</v>
      </c>
      <c r="J83" s="151" t="b">
        <v>0</v>
      </c>
      <c r="K83" s="149" t="b">
        <v>0</v>
      </c>
      <c r="L83" s="150" t="b">
        <v>0</v>
      </c>
      <c r="M83" s="150" t="b">
        <v>0</v>
      </c>
      <c r="N83" s="150" t="b">
        <v>0</v>
      </c>
      <c r="O83" s="150" t="b">
        <v>0</v>
      </c>
      <c r="P83" s="150" t="b">
        <v>0</v>
      </c>
      <c r="Q83" s="151" t="b">
        <v>0</v>
      </c>
      <c r="R83" s="149" t="b">
        <v>0</v>
      </c>
      <c r="S83" s="150" t="b">
        <v>0</v>
      </c>
      <c r="T83" s="150" t="b">
        <v>0</v>
      </c>
      <c r="U83" s="150" t="b">
        <v>0</v>
      </c>
      <c r="V83" s="150" t="b">
        <v>0</v>
      </c>
      <c r="W83" s="150" t="b">
        <v>0</v>
      </c>
      <c r="X83" s="151" t="b">
        <v>0</v>
      </c>
      <c r="Y83" s="149" t="b">
        <v>0</v>
      </c>
      <c r="Z83" s="150" t="b">
        <v>0</v>
      </c>
      <c r="AA83" s="150" t="b">
        <v>0</v>
      </c>
      <c r="AB83" s="150" t="b">
        <v>0</v>
      </c>
      <c r="AC83" s="150" t="b">
        <v>0</v>
      </c>
      <c r="AD83" s="150" t="b">
        <v>0</v>
      </c>
      <c r="AE83" s="151" t="b">
        <v>0</v>
      </c>
      <c r="AF83" s="149" t="b">
        <v>0</v>
      </c>
      <c r="AG83" s="151" t="b">
        <v>0</v>
      </c>
      <c r="AI83" s="23">
        <f t="shared" si="15"/>
        <v>30</v>
      </c>
      <c r="AJ83" s="23">
        <f>COUNTIF(D83:AG83, TRUE)</f>
        <v>0</v>
      </c>
      <c r="AK83" s="24">
        <f t="shared" si="16"/>
        <v>0</v>
      </c>
    </row>
    <row r="84" spans="3:38" ht="22.5" customHeight="1" x14ac:dyDescent="0.25">
      <c r="C84" s="148" t="s">
        <v>20</v>
      </c>
      <c r="D84" s="149" t="b">
        <v>0</v>
      </c>
      <c r="E84" s="150" t="b">
        <v>0</v>
      </c>
      <c r="F84" s="150" t="b">
        <v>0</v>
      </c>
      <c r="G84" s="150" t="b">
        <v>0</v>
      </c>
      <c r="H84" s="150" t="b">
        <v>0</v>
      </c>
      <c r="I84" s="150" t="b">
        <v>0</v>
      </c>
      <c r="J84" s="151" t="b">
        <v>0</v>
      </c>
      <c r="K84" s="149" t="b">
        <v>0</v>
      </c>
      <c r="L84" s="150" t="b">
        <v>0</v>
      </c>
      <c r="M84" s="150" t="b">
        <v>0</v>
      </c>
      <c r="N84" s="150" t="b">
        <v>0</v>
      </c>
      <c r="O84" s="150" t="b">
        <v>0</v>
      </c>
      <c r="P84" s="150" t="b">
        <v>0</v>
      </c>
      <c r="Q84" s="151" t="b">
        <v>0</v>
      </c>
      <c r="R84" s="149" t="b">
        <v>0</v>
      </c>
      <c r="S84" s="150" t="b">
        <v>0</v>
      </c>
      <c r="T84" s="150" t="b">
        <v>0</v>
      </c>
      <c r="U84" s="150" t="b">
        <v>0</v>
      </c>
      <c r="V84" s="150" t="b">
        <v>0</v>
      </c>
      <c r="W84" s="150" t="b">
        <v>0</v>
      </c>
      <c r="X84" s="151" t="b">
        <v>0</v>
      </c>
      <c r="Y84" s="149" t="b">
        <v>0</v>
      </c>
      <c r="Z84" s="150" t="b">
        <v>0</v>
      </c>
      <c r="AA84" s="150" t="b">
        <v>0</v>
      </c>
      <c r="AB84" s="150" t="b">
        <v>0</v>
      </c>
      <c r="AC84" s="150" t="b">
        <v>0</v>
      </c>
      <c r="AD84" s="150" t="b">
        <v>0</v>
      </c>
      <c r="AE84" s="151" t="b">
        <v>0</v>
      </c>
      <c r="AF84" s="149" t="b">
        <v>0</v>
      </c>
      <c r="AG84" s="151" t="b">
        <v>0</v>
      </c>
      <c r="AI84" s="23">
        <f t="shared" si="15"/>
        <v>30</v>
      </c>
      <c r="AJ84" s="23">
        <f>COUNTIF(D84:AG84, TRUE)</f>
        <v>0</v>
      </c>
      <c r="AK84" s="24">
        <f t="shared" si="16"/>
        <v>0</v>
      </c>
    </row>
    <row r="85" spans="3:38" ht="22.5" customHeight="1" x14ac:dyDescent="0.25">
      <c r="C85" s="152" t="s">
        <v>18</v>
      </c>
      <c r="D85" s="153" t="b">
        <v>0</v>
      </c>
      <c r="E85" s="154" t="b">
        <v>0</v>
      </c>
      <c r="F85" s="154" t="b">
        <v>0</v>
      </c>
      <c r="G85" s="154" t="b">
        <v>0</v>
      </c>
      <c r="H85" s="154" t="b">
        <v>0</v>
      </c>
      <c r="I85" s="154" t="b">
        <v>0</v>
      </c>
      <c r="J85" s="155" t="b">
        <v>0</v>
      </c>
      <c r="K85" s="153" t="b">
        <v>0</v>
      </c>
      <c r="L85" s="154" t="b">
        <v>0</v>
      </c>
      <c r="M85" s="154" t="b">
        <v>0</v>
      </c>
      <c r="N85" s="154" t="b">
        <v>0</v>
      </c>
      <c r="O85" s="154" t="b">
        <v>0</v>
      </c>
      <c r="P85" s="154" t="b">
        <v>0</v>
      </c>
      <c r="Q85" s="155" t="b">
        <v>0</v>
      </c>
      <c r="R85" s="153" t="b">
        <v>0</v>
      </c>
      <c r="S85" s="154" t="b">
        <v>0</v>
      </c>
      <c r="T85" s="154" t="b">
        <v>0</v>
      </c>
      <c r="U85" s="154" t="b">
        <v>0</v>
      </c>
      <c r="V85" s="154" t="b">
        <v>0</v>
      </c>
      <c r="W85" s="154" t="b">
        <v>0</v>
      </c>
      <c r="X85" s="155" t="b">
        <v>0</v>
      </c>
      <c r="Y85" s="153" t="b">
        <v>0</v>
      </c>
      <c r="Z85" s="154" t="b">
        <v>0</v>
      </c>
      <c r="AA85" s="154" t="b">
        <v>0</v>
      </c>
      <c r="AB85" s="154" t="b">
        <v>0</v>
      </c>
      <c r="AC85" s="154" t="b">
        <v>0</v>
      </c>
      <c r="AD85" s="154" t="b">
        <v>0</v>
      </c>
      <c r="AE85" s="155" t="b">
        <v>0</v>
      </c>
      <c r="AF85" s="153" t="b">
        <v>0</v>
      </c>
      <c r="AG85" s="155" t="b">
        <v>0</v>
      </c>
      <c r="AI85" s="23">
        <f t="shared" si="15"/>
        <v>30</v>
      </c>
      <c r="AJ85" s="23">
        <f>COUNTIF(D85:AG85, TRUE)</f>
        <v>0</v>
      </c>
      <c r="AK85" s="24">
        <f t="shared" si="16"/>
        <v>0</v>
      </c>
    </row>
    <row r="87" spans="3:38" ht="22.5" customHeight="1" x14ac:dyDescent="0.25">
      <c r="C87" s="82"/>
      <c r="D87" s="118" t="s">
        <v>48</v>
      </c>
      <c r="E87" s="118"/>
      <c r="F87" s="118"/>
      <c r="G87" s="118"/>
      <c r="H87" s="118"/>
      <c r="I87" s="118"/>
      <c r="J87" s="118"/>
      <c r="K87" s="83"/>
      <c r="L87" s="83"/>
      <c r="M87" s="83"/>
      <c r="N87" s="84" t="s">
        <v>21</v>
      </c>
      <c r="O87" s="83"/>
      <c r="P87" s="83"/>
      <c r="Q87" s="83"/>
      <c r="R87" s="83"/>
      <c r="S87" s="84" t="s">
        <v>23</v>
      </c>
      <c r="T87" s="83"/>
      <c r="U87" s="85"/>
      <c r="V87" s="83"/>
      <c r="W87" s="83"/>
      <c r="X87" s="84" t="s">
        <v>27</v>
      </c>
      <c r="Y87" s="83"/>
      <c r="Z87" s="83"/>
      <c r="AA87" s="83"/>
      <c r="AB87" s="84" t="s">
        <v>28</v>
      </c>
      <c r="AC87" s="83"/>
      <c r="AD87" s="83"/>
      <c r="AE87" s="83"/>
      <c r="AF87" s="83"/>
      <c r="AG87" s="83"/>
      <c r="AH87" s="86"/>
    </row>
    <row r="88" spans="3:38" ht="22.5" customHeight="1" x14ac:dyDescent="0.25">
      <c r="C88" s="87"/>
      <c r="D88" s="119"/>
      <c r="E88" s="119"/>
      <c r="F88" s="119"/>
      <c r="G88" s="119"/>
      <c r="H88" s="119"/>
      <c r="I88" s="119"/>
      <c r="J88" s="119"/>
      <c r="K88" s="88"/>
      <c r="L88" s="88"/>
      <c r="M88" s="88"/>
      <c r="N88" s="89">
        <f>COUNTA(C93:C99)</f>
        <v>7</v>
      </c>
      <c r="O88" s="88"/>
      <c r="P88" s="88"/>
      <c r="Q88" s="88"/>
      <c r="R88" s="88"/>
      <c r="S88" s="89">
        <f>COUNTIF(D93:AH99,TRUE)</f>
        <v>0</v>
      </c>
      <c r="T88" s="88"/>
      <c r="U88" s="90"/>
      <c r="V88" s="88"/>
      <c r="W88" s="120">
        <f>COUNTIF(D93:AH99, TRUE)/(COUNTA(D92:AH92)*COUNTA(C93:C99))</f>
        <v>0</v>
      </c>
      <c r="X88" s="120"/>
      <c r="Y88" s="120"/>
      <c r="Z88" s="88"/>
      <c r="AA88" s="88"/>
      <c r="AB88" s="91">
        <f>COUNTIF(D93:AH99, TRUE)/(COUNTA(D92:AH92)*COUNTA(C93:C99))</f>
        <v>0</v>
      </c>
      <c r="AC88" s="88"/>
      <c r="AD88" s="88"/>
      <c r="AE88" s="88"/>
      <c r="AF88" s="88"/>
      <c r="AG88" s="88"/>
      <c r="AH88" s="92"/>
    </row>
    <row r="90" spans="3:38" ht="22.5" customHeight="1" x14ac:dyDescent="0.25">
      <c r="C90" s="139" t="s">
        <v>1</v>
      </c>
      <c r="D90" s="140" t="s">
        <v>9</v>
      </c>
      <c r="E90" s="140"/>
      <c r="F90" s="140"/>
      <c r="G90" s="140"/>
      <c r="H90" s="140"/>
      <c r="I90" s="140"/>
      <c r="J90" s="140"/>
      <c r="K90" s="140" t="s">
        <v>10</v>
      </c>
      <c r="L90" s="140"/>
      <c r="M90" s="140"/>
      <c r="N90" s="140"/>
      <c r="O90" s="140"/>
      <c r="P90" s="140"/>
      <c r="Q90" s="140"/>
      <c r="R90" s="140" t="s">
        <v>11</v>
      </c>
      <c r="S90" s="140"/>
      <c r="T90" s="140"/>
      <c r="U90" s="140"/>
      <c r="V90" s="140"/>
      <c r="W90" s="140"/>
      <c r="X90" s="140"/>
      <c r="Y90" s="140" t="s">
        <v>12</v>
      </c>
      <c r="Z90" s="140"/>
      <c r="AA90" s="140"/>
      <c r="AB90" s="140"/>
      <c r="AC90" s="140"/>
      <c r="AD90" s="140"/>
      <c r="AE90" s="140"/>
      <c r="AF90" s="140" t="s">
        <v>13</v>
      </c>
      <c r="AG90" s="140"/>
      <c r="AH90" s="140"/>
      <c r="AJ90" s="124" t="s">
        <v>24</v>
      </c>
      <c r="AK90" s="124"/>
      <c r="AL90" s="124"/>
    </row>
    <row r="91" spans="3:38" ht="22.5" customHeight="1" x14ac:dyDescent="0.25">
      <c r="C91" s="139"/>
      <c r="D91" s="143" t="s">
        <v>6</v>
      </c>
      <c r="E91" s="143" t="s">
        <v>7</v>
      </c>
      <c r="F91" s="143" t="s">
        <v>8</v>
      </c>
      <c r="G91" s="143" t="s">
        <v>2</v>
      </c>
      <c r="H91" s="143" t="s">
        <v>3</v>
      </c>
      <c r="I91" s="143" t="s">
        <v>4</v>
      </c>
      <c r="J91" s="143" t="s">
        <v>5</v>
      </c>
      <c r="K91" s="143" t="s">
        <v>6</v>
      </c>
      <c r="L91" s="143" t="s">
        <v>7</v>
      </c>
      <c r="M91" s="143" t="s">
        <v>8</v>
      </c>
      <c r="N91" s="143" t="s">
        <v>2</v>
      </c>
      <c r="O91" s="143" t="s">
        <v>3</v>
      </c>
      <c r="P91" s="143" t="s">
        <v>4</v>
      </c>
      <c r="Q91" s="143" t="s">
        <v>5</v>
      </c>
      <c r="R91" s="143" t="s">
        <v>6</v>
      </c>
      <c r="S91" s="143" t="s">
        <v>7</v>
      </c>
      <c r="T91" s="143" t="s">
        <v>8</v>
      </c>
      <c r="U91" s="143" t="s">
        <v>2</v>
      </c>
      <c r="V91" s="143" t="s">
        <v>3</v>
      </c>
      <c r="W91" s="143" t="s">
        <v>4</v>
      </c>
      <c r="X91" s="143" t="s">
        <v>5</v>
      </c>
      <c r="Y91" s="143" t="s">
        <v>6</v>
      </c>
      <c r="Z91" s="143" t="s">
        <v>7</v>
      </c>
      <c r="AA91" s="143" t="s">
        <v>8</v>
      </c>
      <c r="AB91" s="143" t="s">
        <v>2</v>
      </c>
      <c r="AC91" s="143" t="s">
        <v>3</v>
      </c>
      <c r="AD91" s="143" t="s">
        <v>4</v>
      </c>
      <c r="AE91" s="143" t="s">
        <v>5</v>
      </c>
      <c r="AF91" s="143" t="s">
        <v>6</v>
      </c>
      <c r="AG91" s="143" t="s">
        <v>7</v>
      </c>
      <c r="AH91" s="143" t="s">
        <v>8</v>
      </c>
      <c r="AJ91" s="124"/>
      <c r="AK91" s="124"/>
      <c r="AL91" s="124"/>
    </row>
    <row r="92" spans="3:38" ht="22.5" customHeight="1" x14ac:dyDescent="0.25">
      <c r="C92" s="139"/>
      <c r="D92" s="143">
        <v>1</v>
      </c>
      <c r="E92" s="143">
        <v>2</v>
      </c>
      <c r="F92" s="143">
        <v>3</v>
      </c>
      <c r="G92" s="143">
        <v>4</v>
      </c>
      <c r="H92" s="143">
        <v>5</v>
      </c>
      <c r="I92" s="143">
        <v>6</v>
      </c>
      <c r="J92" s="143">
        <v>7</v>
      </c>
      <c r="K92" s="143">
        <v>8</v>
      </c>
      <c r="L92" s="143">
        <v>9</v>
      </c>
      <c r="M92" s="143">
        <v>10</v>
      </c>
      <c r="N92" s="143">
        <v>11</v>
      </c>
      <c r="O92" s="143">
        <v>12</v>
      </c>
      <c r="P92" s="143">
        <v>13</v>
      </c>
      <c r="Q92" s="143">
        <v>14</v>
      </c>
      <c r="R92" s="143">
        <v>15</v>
      </c>
      <c r="S92" s="143">
        <v>16</v>
      </c>
      <c r="T92" s="143">
        <v>17</v>
      </c>
      <c r="U92" s="143">
        <v>18</v>
      </c>
      <c r="V92" s="143">
        <v>19</v>
      </c>
      <c r="W92" s="143">
        <v>20</v>
      </c>
      <c r="X92" s="143">
        <v>21</v>
      </c>
      <c r="Y92" s="143">
        <v>22</v>
      </c>
      <c r="Z92" s="143">
        <v>23</v>
      </c>
      <c r="AA92" s="143">
        <v>24</v>
      </c>
      <c r="AB92" s="143">
        <v>25</v>
      </c>
      <c r="AC92" s="143">
        <v>26</v>
      </c>
      <c r="AD92" s="143">
        <v>27</v>
      </c>
      <c r="AE92" s="143">
        <v>28</v>
      </c>
      <c r="AF92" s="143">
        <v>29</v>
      </c>
      <c r="AG92" s="143">
        <v>30</v>
      </c>
      <c r="AH92" s="143">
        <v>31</v>
      </c>
      <c r="AJ92" s="116" t="s">
        <v>25</v>
      </c>
      <c r="AK92" s="116" t="s">
        <v>26</v>
      </c>
      <c r="AL92" s="116" t="s">
        <v>27</v>
      </c>
    </row>
    <row r="93" spans="3:38" ht="22.5" customHeight="1" x14ac:dyDescent="0.25">
      <c r="C93" s="144" t="s">
        <v>14</v>
      </c>
      <c r="D93" s="145" t="b">
        <v>0</v>
      </c>
      <c r="E93" s="146" t="b">
        <v>0</v>
      </c>
      <c r="F93" s="146" t="b">
        <v>0</v>
      </c>
      <c r="G93" s="146" t="b">
        <v>0</v>
      </c>
      <c r="H93" s="146" t="b">
        <v>0</v>
      </c>
      <c r="I93" s="146" t="b">
        <v>0</v>
      </c>
      <c r="J93" s="147" t="b">
        <v>0</v>
      </c>
      <c r="K93" s="145" t="b">
        <v>0</v>
      </c>
      <c r="L93" s="146" t="b">
        <v>0</v>
      </c>
      <c r="M93" s="146" t="b">
        <v>0</v>
      </c>
      <c r="N93" s="146" t="b">
        <v>0</v>
      </c>
      <c r="O93" s="146" t="b">
        <v>0</v>
      </c>
      <c r="P93" s="146" t="b">
        <v>0</v>
      </c>
      <c r="Q93" s="147" t="b">
        <v>0</v>
      </c>
      <c r="R93" s="145" t="b">
        <v>0</v>
      </c>
      <c r="S93" s="146" t="b">
        <v>0</v>
      </c>
      <c r="T93" s="146" t="b">
        <v>0</v>
      </c>
      <c r="U93" s="146" t="b">
        <v>0</v>
      </c>
      <c r="V93" s="146" t="b">
        <v>0</v>
      </c>
      <c r="W93" s="146" t="b">
        <v>0</v>
      </c>
      <c r="X93" s="147" t="b">
        <v>0</v>
      </c>
      <c r="Y93" s="145" t="b">
        <v>0</v>
      </c>
      <c r="Z93" s="146" t="b">
        <v>0</v>
      </c>
      <c r="AA93" s="146" t="b">
        <v>0</v>
      </c>
      <c r="AB93" s="146" t="b">
        <v>0</v>
      </c>
      <c r="AC93" s="146" t="b">
        <v>0</v>
      </c>
      <c r="AD93" s="146" t="b">
        <v>0</v>
      </c>
      <c r="AE93" s="147" t="b">
        <v>0</v>
      </c>
      <c r="AF93" s="145" t="b">
        <v>0</v>
      </c>
      <c r="AG93" s="146" t="b">
        <v>0</v>
      </c>
      <c r="AH93" s="147" t="b">
        <v>0</v>
      </c>
      <c r="AJ93" s="23">
        <f>COUNTA($D$92:$AH$92)</f>
        <v>31</v>
      </c>
      <c r="AK93" s="23">
        <f>COUNTIF(D93:AH93, TRUE)</f>
        <v>0</v>
      </c>
      <c r="AL93" s="24">
        <f>AK93/AJ93</f>
        <v>0</v>
      </c>
    </row>
    <row r="94" spans="3:38" ht="22.5" customHeight="1" x14ac:dyDescent="0.25">
      <c r="C94" s="148" t="s">
        <v>15</v>
      </c>
      <c r="D94" s="149" t="b">
        <v>0</v>
      </c>
      <c r="E94" s="150" t="b">
        <v>0</v>
      </c>
      <c r="F94" s="150" t="b">
        <v>0</v>
      </c>
      <c r="G94" s="150" t="b">
        <v>0</v>
      </c>
      <c r="H94" s="150" t="b">
        <v>0</v>
      </c>
      <c r="I94" s="150" t="b">
        <v>0</v>
      </c>
      <c r="J94" s="151" t="b">
        <v>0</v>
      </c>
      <c r="K94" s="149" t="b">
        <v>0</v>
      </c>
      <c r="L94" s="150" t="b">
        <v>0</v>
      </c>
      <c r="M94" s="150" t="b">
        <v>0</v>
      </c>
      <c r="N94" s="150" t="b">
        <v>0</v>
      </c>
      <c r="O94" s="150" t="b">
        <v>0</v>
      </c>
      <c r="P94" s="150" t="b">
        <v>0</v>
      </c>
      <c r="Q94" s="151" t="b">
        <v>0</v>
      </c>
      <c r="R94" s="149" t="b">
        <v>0</v>
      </c>
      <c r="S94" s="150" t="b">
        <v>0</v>
      </c>
      <c r="T94" s="150" t="b">
        <v>0</v>
      </c>
      <c r="U94" s="150" t="b">
        <v>0</v>
      </c>
      <c r="V94" s="150" t="b">
        <v>0</v>
      </c>
      <c r="W94" s="150" t="b">
        <v>0</v>
      </c>
      <c r="X94" s="151" t="b">
        <v>0</v>
      </c>
      <c r="Y94" s="149" t="b">
        <v>0</v>
      </c>
      <c r="Z94" s="150" t="b">
        <v>0</v>
      </c>
      <c r="AA94" s="150" t="b">
        <v>0</v>
      </c>
      <c r="AB94" s="150" t="b">
        <v>0</v>
      </c>
      <c r="AC94" s="150" t="b">
        <v>0</v>
      </c>
      <c r="AD94" s="150" t="b">
        <v>0</v>
      </c>
      <c r="AE94" s="151" t="b">
        <v>0</v>
      </c>
      <c r="AF94" s="149" t="b">
        <v>0</v>
      </c>
      <c r="AG94" s="150" t="b">
        <v>0</v>
      </c>
      <c r="AH94" s="151" t="b">
        <v>0</v>
      </c>
      <c r="AJ94" s="23">
        <f t="shared" ref="AJ94:AJ99" si="17">COUNTA($D$92:$AH$92)</f>
        <v>31</v>
      </c>
      <c r="AK94" s="23">
        <f t="shared" ref="AK94:AK99" si="18">COUNTIF(D94:AH94, TRUE)</f>
        <v>0</v>
      </c>
      <c r="AL94" s="24">
        <f t="shared" ref="AL94:AL99" si="19">AK94/AJ94</f>
        <v>0</v>
      </c>
    </row>
    <row r="95" spans="3:38" ht="22.5" customHeight="1" x14ac:dyDescent="0.25">
      <c r="C95" s="148" t="s">
        <v>16</v>
      </c>
      <c r="D95" s="149" t="b">
        <v>0</v>
      </c>
      <c r="E95" s="150" t="b">
        <v>0</v>
      </c>
      <c r="F95" s="150" t="b">
        <v>0</v>
      </c>
      <c r="G95" s="150" t="b">
        <v>0</v>
      </c>
      <c r="H95" s="150" t="b">
        <v>0</v>
      </c>
      <c r="I95" s="150" t="b">
        <v>0</v>
      </c>
      <c r="J95" s="151" t="b">
        <v>0</v>
      </c>
      <c r="K95" s="149" t="b">
        <v>0</v>
      </c>
      <c r="L95" s="150" t="b">
        <v>0</v>
      </c>
      <c r="M95" s="150" t="b">
        <v>0</v>
      </c>
      <c r="N95" s="150" t="b">
        <v>0</v>
      </c>
      <c r="O95" s="150" t="b">
        <v>0</v>
      </c>
      <c r="P95" s="150" t="b">
        <v>0</v>
      </c>
      <c r="Q95" s="151" t="b">
        <v>0</v>
      </c>
      <c r="R95" s="149" t="b">
        <v>0</v>
      </c>
      <c r="S95" s="150" t="b">
        <v>0</v>
      </c>
      <c r="T95" s="150" t="b">
        <v>0</v>
      </c>
      <c r="U95" s="150" t="b">
        <v>0</v>
      </c>
      <c r="V95" s="150" t="b">
        <v>0</v>
      </c>
      <c r="W95" s="150" t="b">
        <v>0</v>
      </c>
      <c r="X95" s="151" t="b">
        <v>0</v>
      </c>
      <c r="Y95" s="149" t="b">
        <v>0</v>
      </c>
      <c r="Z95" s="150" t="b">
        <v>0</v>
      </c>
      <c r="AA95" s="150" t="b">
        <v>0</v>
      </c>
      <c r="AB95" s="150" t="b">
        <v>0</v>
      </c>
      <c r="AC95" s="150" t="b">
        <v>0</v>
      </c>
      <c r="AD95" s="150" t="b">
        <v>0</v>
      </c>
      <c r="AE95" s="151" t="b">
        <v>0</v>
      </c>
      <c r="AF95" s="149" t="b">
        <v>0</v>
      </c>
      <c r="AG95" s="150" t="b">
        <v>0</v>
      </c>
      <c r="AH95" s="151" t="b">
        <v>0</v>
      </c>
      <c r="AJ95" s="23">
        <f t="shared" si="17"/>
        <v>31</v>
      </c>
      <c r="AK95" s="23">
        <f>COUNTIF(D95:AH95, TRUE)</f>
        <v>0</v>
      </c>
      <c r="AL95" s="24">
        <f t="shared" si="19"/>
        <v>0</v>
      </c>
    </row>
    <row r="96" spans="3:38" ht="22.5" customHeight="1" x14ac:dyDescent="0.25">
      <c r="C96" s="148" t="s">
        <v>17</v>
      </c>
      <c r="D96" s="149" t="b">
        <v>0</v>
      </c>
      <c r="E96" s="150" t="b">
        <v>0</v>
      </c>
      <c r="F96" s="150" t="b">
        <v>0</v>
      </c>
      <c r="G96" s="150" t="b">
        <v>0</v>
      </c>
      <c r="H96" s="150" t="b">
        <v>0</v>
      </c>
      <c r="I96" s="150" t="b">
        <v>0</v>
      </c>
      <c r="J96" s="151" t="b">
        <v>0</v>
      </c>
      <c r="K96" s="149" t="b">
        <v>0</v>
      </c>
      <c r="L96" s="150" t="b">
        <v>0</v>
      </c>
      <c r="M96" s="150" t="b">
        <v>0</v>
      </c>
      <c r="N96" s="150" t="b">
        <v>0</v>
      </c>
      <c r="O96" s="150" t="b">
        <v>0</v>
      </c>
      <c r="P96" s="150" t="b">
        <v>0</v>
      </c>
      <c r="Q96" s="151" t="b">
        <v>0</v>
      </c>
      <c r="R96" s="149" t="b">
        <v>0</v>
      </c>
      <c r="S96" s="150" t="b">
        <v>0</v>
      </c>
      <c r="T96" s="150" t="b">
        <v>0</v>
      </c>
      <c r="U96" s="150" t="b">
        <v>0</v>
      </c>
      <c r="V96" s="150" t="b">
        <v>0</v>
      </c>
      <c r="W96" s="150" t="b">
        <v>0</v>
      </c>
      <c r="X96" s="151" t="b">
        <v>0</v>
      </c>
      <c r="Y96" s="149" t="b">
        <v>0</v>
      </c>
      <c r="Z96" s="150" t="b">
        <v>0</v>
      </c>
      <c r="AA96" s="150" t="b">
        <v>0</v>
      </c>
      <c r="AB96" s="150" t="b">
        <v>0</v>
      </c>
      <c r="AC96" s="150" t="b">
        <v>0</v>
      </c>
      <c r="AD96" s="150" t="b">
        <v>0</v>
      </c>
      <c r="AE96" s="151" t="b">
        <v>0</v>
      </c>
      <c r="AF96" s="149" t="b">
        <v>0</v>
      </c>
      <c r="AG96" s="150" t="b">
        <v>0</v>
      </c>
      <c r="AH96" s="151" t="b">
        <v>0</v>
      </c>
      <c r="AJ96" s="23">
        <f t="shared" si="17"/>
        <v>31</v>
      </c>
      <c r="AK96" s="23">
        <f t="shared" ref="AK96:AK99" si="20">COUNTIF(D96:AH96, TRUE)</f>
        <v>0</v>
      </c>
      <c r="AL96" s="24">
        <f t="shared" si="19"/>
        <v>0</v>
      </c>
    </row>
    <row r="97" spans="3:38" ht="22.5" customHeight="1" x14ac:dyDescent="0.25">
      <c r="C97" s="148" t="s">
        <v>19</v>
      </c>
      <c r="D97" s="149" t="b">
        <v>0</v>
      </c>
      <c r="E97" s="150" t="b">
        <v>0</v>
      </c>
      <c r="F97" s="150" t="b">
        <v>0</v>
      </c>
      <c r="G97" s="150" t="b">
        <v>0</v>
      </c>
      <c r="H97" s="150" t="b">
        <v>0</v>
      </c>
      <c r="I97" s="150" t="b">
        <v>0</v>
      </c>
      <c r="J97" s="151" t="b">
        <v>0</v>
      </c>
      <c r="K97" s="149" t="b">
        <v>0</v>
      </c>
      <c r="L97" s="150" t="b">
        <v>0</v>
      </c>
      <c r="M97" s="150" t="b">
        <v>0</v>
      </c>
      <c r="N97" s="150" t="b">
        <v>0</v>
      </c>
      <c r="O97" s="150" t="b">
        <v>0</v>
      </c>
      <c r="P97" s="150" t="b">
        <v>0</v>
      </c>
      <c r="Q97" s="151" t="b">
        <v>0</v>
      </c>
      <c r="R97" s="149" t="b">
        <v>0</v>
      </c>
      <c r="S97" s="150" t="b">
        <v>0</v>
      </c>
      <c r="T97" s="150" t="b">
        <v>0</v>
      </c>
      <c r="U97" s="150" t="b">
        <v>0</v>
      </c>
      <c r="V97" s="150" t="b">
        <v>0</v>
      </c>
      <c r="W97" s="150" t="b">
        <v>0</v>
      </c>
      <c r="X97" s="151" t="b">
        <v>0</v>
      </c>
      <c r="Y97" s="149" t="b">
        <v>0</v>
      </c>
      <c r="Z97" s="150" t="b">
        <v>0</v>
      </c>
      <c r="AA97" s="150" t="b">
        <v>0</v>
      </c>
      <c r="AB97" s="150" t="b">
        <v>0</v>
      </c>
      <c r="AC97" s="150" t="b">
        <v>0</v>
      </c>
      <c r="AD97" s="150" t="b">
        <v>0</v>
      </c>
      <c r="AE97" s="151" t="b">
        <v>0</v>
      </c>
      <c r="AF97" s="149" t="b">
        <v>0</v>
      </c>
      <c r="AG97" s="150" t="b">
        <v>0</v>
      </c>
      <c r="AH97" s="151" t="b">
        <v>0</v>
      </c>
      <c r="AJ97" s="23">
        <f t="shared" si="17"/>
        <v>31</v>
      </c>
      <c r="AK97" s="23">
        <f t="shared" si="20"/>
        <v>0</v>
      </c>
      <c r="AL97" s="24">
        <f t="shared" si="19"/>
        <v>0</v>
      </c>
    </row>
    <row r="98" spans="3:38" ht="22.5" customHeight="1" x14ac:dyDescent="0.25">
      <c r="C98" s="148" t="s">
        <v>20</v>
      </c>
      <c r="D98" s="149" t="b">
        <v>0</v>
      </c>
      <c r="E98" s="150" t="b">
        <v>0</v>
      </c>
      <c r="F98" s="150" t="b">
        <v>0</v>
      </c>
      <c r="G98" s="150" t="b">
        <v>0</v>
      </c>
      <c r="H98" s="150" t="b">
        <v>0</v>
      </c>
      <c r="I98" s="150" t="b">
        <v>0</v>
      </c>
      <c r="J98" s="151" t="b">
        <v>0</v>
      </c>
      <c r="K98" s="149" t="b">
        <v>0</v>
      </c>
      <c r="L98" s="150" t="b">
        <v>0</v>
      </c>
      <c r="M98" s="150" t="b">
        <v>0</v>
      </c>
      <c r="N98" s="150" t="b">
        <v>0</v>
      </c>
      <c r="O98" s="150" t="b">
        <v>0</v>
      </c>
      <c r="P98" s="150" t="b">
        <v>0</v>
      </c>
      <c r="Q98" s="151" t="b">
        <v>0</v>
      </c>
      <c r="R98" s="149" t="b">
        <v>0</v>
      </c>
      <c r="S98" s="150" t="b">
        <v>0</v>
      </c>
      <c r="T98" s="150" t="b">
        <v>0</v>
      </c>
      <c r="U98" s="150" t="b">
        <v>0</v>
      </c>
      <c r="V98" s="150" t="b">
        <v>0</v>
      </c>
      <c r="W98" s="150" t="b">
        <v>0</v>
      </c>
      <c r="X98" s="151" t="b">
        <v>0</v>
      </c>
      <c r="Y98" s="149" t="b">
        <v>0</v>
      </c>
      <c r="Z98" s="150" t="b">
        <v>0</v>
      </c>
      <c r="AA98" s="150" t="b">
        <v>0</v>
      </c>
      <c r="AB98" s="150" t="b">
        <v>0</v>
      </c>
      <c r="AC98" s="150" t="b">
        <v>0</v>
      </c>
      <c r="AD98" s="150" t="b">
        <v>0</v>
      </c>
      <c r="AE98" s="151" t="b">
        <v>0</v>
      </c>
      <c r="AF98" s="149" t="b">
        <v>0</v>
      </c>
      <c r="AG98" s="150" t="b">
        <v>0</v>
      </c>
      <c r="AH98" s="151" t="b">
        <v>0</v>
      </c>
      <c r="AJ98" s="23">
        <f t="shared" si="17"/>
        <v>31</v>
      </c>
      <c r="AK98" s="23">
        <f t="shared" si="20"/>
        <v>0</v>
      </c>
      <c r="AL98" s="24">
        <f t="shared" si="19"/>
        <v>0</v>
      </c>
    </row>
    <row r="99" spans="3:38" ht="22.5" customHeight="1" x14ac:dyDescent="0.25">
      <c r="C99" s="152" t="s">
        <v>18</v>
      </c>
      <c r="D99" s="153" t="b">
        <v>0</v>
      </c>
      <c r="E99" s="154" t="b">
        <v>0</v>
      </c>
      <c r="F99" s="154" t="b">
        <v>0</v>
      </c>
      <c r="G99" s="154" t="b">
        <v>0</v>
      </c>
      <c r="H99" s="154" t="b">
        <v>0</v>
      </c>
      <c r="I99" s="154" t="b">
        <v>0</v>
      </c>
      <c r="J99" s="155" t="b">
        <v>0</v>
      </c>
      <c r="K99" s="153" t="b">
        <v>0</v>
      </c>
      <c r="L99" s="154" t="b">
        <v>0</v>
      </c>
      <c r="M99" s="154" t="b">
        <v>0</v>
      </c>
      <c r="N99" s="154" t="b">
        <v>0</v>
      </c>
      <c r="O99" s="154" t="b">
        <v>0</v>
      </c>
      <c r="P99" s="154" t="b">
        <v>0</v>
      </c>
      <c r="Q99" s="155" t="b">
        <v>0</v>
      </c>
      <c r="R99" s="153" t="b">
        <v>0</v>
      </c>
      <c r="S99" s="154" t="b">
        <v>0</v>
      </c>
      <c r="T99" s="154" t="b">
        <v>0</v>
      </c>
      <c r="U99" s="154" t="b">
        <v>0</v>
      </c>
      <c r="V99" s="154" t="b">
        <v>0</v>
      </c>
      <c r="W99" s="154" t="b">
        <v>0</v>
      </c>
      <c r="X99" s="155" t="b">
        <v>0</v>
      </c>
      <c r="Y99" s="153" t="b">
        <v>0</v>
      </c>
      <c r="Z99" s="154" t="b">
        <v>0</v>
      </c>
      <c r="AA99" s="154" t="b">
        <v>0</v>
      </c>
      <c r="AB99" s="154" t="b">
        <v>0</v>
      </c>
      <c r="AC99" s="154" t="b">
        <v>0</v>
      </c>
      <c r="AD99" s="154" t="b">
        <v>0</v>
      </c>
      <c r="AE99" s="155" t="b">
        <v>0</v>
      </c>
      <c r="AF99" s="153" t="b">
        <v>0</v>
      </c>
      <c r="AG99" s="154" t="b">
        <v>0</v>
      </c>
      <c r="AH99" s="155" t="b">
        <v>0</v>
      </c>
      <c r="AJ99" s="23">
        <f t="shared" si="17"/>
        <v>31</v>
      </c>
      <c r="AK99" s="23">
        <f t="shared" si="20"/>
        <v>0</v>
      </c>
      <c r="AL99" s="24">
        <f t="shared" si="19"/>
        <v>0</v>
      </c>
    </row>
  </sheetData>
  <mergeCells count="62">
    <mergeCell ref="AF90:AH90"/>
    <mergeCell ref="AJ90:AL91"/>
    <mergeCell ref="D87:J88"/>
    <mergeCell ref="W88:Y88"/>
    <mergeCell ref="C90:C92"/>
    <mergeCell ref="D90:J90"/>
    <mergeCell ref="K90:Q90"/>
    <mergeCell ref="R90:X90"/>
    <mergeCell ref="Y90:AE90"/>
    <mergeCell ref="AF62:AH62"/>
    <mergeCell ref="AJ62:AL63"/>
    <mergeCell ref="D73:J74"/>
    <mergeCell ref="W74:Y74"/>
    <mergeCell ref="C76:C78"/>
    <mergeCell ref="D76:J76"/>
    <mergeCell ref="K76:Q76"/>
    <mergeCell ref="R76:X76"/>
    <mergeCell ref="Y76:AE76"/>
    <mergeCell ref="AF76:AG76"/>
    <mergeCell ref="AI76:AK77"/>
    <mergeCell ref="C62:C64"/>
    <mergeCell ref="D62:J62"/>
    <mergeCell ref="K62:Q62"/>
    <mergeCell ref="R62:X62"/>
    <mergeCell ref="Y62:AE62"/>
    <mergeCell ref="AI48:AK49"/>
    <mergeCell ref="AF48:AG48"/>
    <mergeCell ref="D59:J60"/>
    <mergeCell ref="W60:Y60"/>
    <mergeCell ref="D45:J46"/>
    <mergeCell ref="W46:Y46"/>
    <mergeCell ref="C48:C50"/>
    <mergeCell ref="D48:J48"/>
    <mergeCell ref="K48:Q48"/>
    <mergeCell ref="R48:X48"/>
    <mergeCell ref="Y48:AE48"/>
    <mergeCell ref="C6:C8"/>
    <mergeCell ref="D3:J4"/>
    <mergeCell ref="AJ6:AL7"/>
    <mergeCell ref="W4:Y4"/>
    <mergeCell ref="D6:J6"/>
    <mergeCell ref="K6:Q6"/>
    <mergeCell ref="R6:X6"/>
    <mergeCell ref="Y6:AE6"/>
    <mergeCell ref="AF6:AH6"/>
    <mergeCell ref="AJ34:AL35"/>
    <mergeCell ref="D17:J18"/>
    <mergeCell ref="W18:Y18"/>
    <mergeCell ref="C20:C22"/>
    <mergeCell ref="D20:J20"/>
    <mergeCell ref="K20:Q20"/>
    <mergeCell ref="R20:X20"/>
    <mergeCell ref="Y20:AE20"/>
    <mergeCell ref="AG20:AI21"/>
    <mergeCell ref="D31:J32"/>
    <mergeCell ref="W32:Y32"/>
    <mergeCell ref="C34:C36"/>
    <mergeCell ref="D34:J34"/>
    <mergeCell ref="K34:Q34"/>
    <mergeCell ref="R34:X34"/>
    <mergeCell ref="Y34:AE34"/>
    <mergeCell ref="AF34:AH34"/>
  </mergeCells>
  <phoneticPr fontId="5" type="noConversion"/>
  <conditionalFormatting sqref="D9">
    <cfRule type="dataBar" priority="28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{5ED69647-70F7-4B31-BC60-FE05E7E62523}</x14:id>
        </ext>
      </extLst>
    </cfRule>
  </conditionalFormatting>
  <conditionalFormatting sqref="D23">
    <cfRule type="dataBar" priority="2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{283FAB69-0992-4647-A3CD-A6075950C2C0}</x14:id>
        </ext>
      </extLst>
    </cfRule>
  </conditionalFormatting>
  <conditionalFormatting sqref="D37">
    <cfRule type="dataBar" priority="2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{77B46F2F-C151-4BAA-8588-7DD781F7EE70}</x14:id>
        </ext>
      </extLst>
    </cfRule>
  </conditionalFormatting>
  <conditionalFormatting sqref="AF37 R37">
    <cfRule type="dataBar" priority="17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{CD510ECC-8753-47BB-A2F5-05BBFC071945}</x14:id>
        </ext>
      </extLst>
    </cfRule>
  </conditionalFormatting>
  <conditionalFormatting sqref="W4">
    <cfRule type="dataBar" priority="25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{16FF151F-02E3-478F-99D5-766BAB02E6CC}</x14:id>
        </ext>
      </extLst>
    </cfRule>
  </conditionalFormatting>
  <conditionalFormatting sqref="W18">
    <cfRule type="dataBar" priority="22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{6BA8D6BF-52F8-45F4-AFFC-5EAD417FC0CB}</x14:id>
        </ext>
      </extLst>
    </cfRule>
  </conditionalFormatting>
  <conditionalFormatting sqref="W32">
    <cfRule type="dataBar" priority="18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{B32DB54E-182A-4C09-ACA3-6B1667566AF0}</x14:id>
        </ext>
      </extLst>
    </cfRule>
  </conditionalFormatting>
  <conditionalFormatting sqref="AI23:AI29">
    <cfRule type="dataBar" priority="23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{B7095668-C588-4391-8B24-5D0CFDE1237A}</x14:id>
        </ext>
      </extLst>
    </cfRule>
  </conditionalFormatting>
  <conditionalFormatting sqref="AL9:AL15">
    <cfRule type="dataBar" priority="26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{D8E2A7FE-A212-43C1-B471-5DF116DB2D6A}</x14:id>
        </ext>
      </extLst>
    </cfRule>
  </conditionalFormatting>
  <conditionalFormatting sqref="AL37:AL43">
    <cfRule type="dataBar" priority="19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{F2BCA952-3E8B-4860-AA7C-36EC11AA4BE2}</x14:id>
        </ext>
      </extLst>
    </cfRule>
  </conditionalFormatting>
  <conditionalFormatting sqref="D51">
    <cfRule type="dataBar" priority="16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{D97E524D-C636-408A-8C2E-35FD6A70CCD2}</x14:id>
        </ext>
      </extLst>
    </cfRule>
  </conditionalFormatting>
  <conditionalFormatting sqref="AF51 R51">
    <cfRule type="dataBar" priority="1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{500D91D4-31D9-488B-BADC-CE3532A906FD}</x14:id>
        </ext>
      </extLst>
    </cfRule>
  </conditionalFormatting>
  <conditionalFormatting sqref="W46">
    <cfRule type="dataBar" priority="14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{12DC9E74-1089-4EA2-A601-4DECE0AFE9F1}</x14:id>
        </ext>
      </extLst>
    </cfRule>
  </conditionalFormatting>
  <conditionalFormatting sqref="AK51:AK57">
    <cfRule type="dataBar" priority="15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{F9241725-D262-4370-9727-FB3BD1AAA798}</x14:id>
        </ext>
      </extLst>
    </cfRule>
  </conditionalFormatting>
  <conditionalFormatting sqref="D65">
    <cfRule type="dataBar" priority="1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{5D85DFCB-0AE2-4303-A745-62DE6653B75F}</x14:id>
        </ext>
      </extLst>
    </cfRule>
  </conditionalFormatting>
  <conditionalFormatting sqref="R65 AF65">
    <cfRule type="dataBar" priority="9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{12C511D8-E60D-46FC-AAE2-FE3473407093}</x14:id>
        </ext>
      </extLst>
    </cfRule>
  </conditionalFormatting>
  <conditionalFormatting sqref="W60">
    <cfRule type="dataBar" priority="10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{AA935871-AFDE-4BA1-87B0-4F16C7C42A09}</x14:id>
        </ext>
      </extLst>
    </cfRule>
  </conditionalFormatting>
  <conditionalFormatting sqref="AL65:AL71">
    <cfRule type="dataBar" priority="11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{6430122A-C0D3-417C-BE6F-6DF21AB44076}</x14:id>
        </ext>
      </extLst>
    </cfRule>
  </conditionalFormatting>
  <conditionalFormatting sqref="D79">
    <cfRule type="dataBar" priority="8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{2F64091A-290E-4CCE-AA8C-2DDDE709C592}</x14:id>
        </ext>
      </extLst>
    </cfRule>
  </conditionalFormatting>
  <conditionalFormatting sqref="AF79 R79">
    <cfRule type="dataBar" priority="5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{B131CD87-D859-423B-9E1D-A418A28297E9}</x14:id>
        </ext>
      </extLst>
    </cfRule>
  </conditionalFormatting>
  <conditionalFormatting sqref="W74">
    <cfRule type="dataBar" priority="6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{66AEE7B2-E35D-4E03-A5AF-9CC4AB27D43A}</x14:id>
        </ext>
      </extLst>
    </cfRule>
  </conditionalFormatting>
  <conditionalFormatting sqref="AK79:AK85">
    <cfRule type="dataBar" priority="7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{065C07E4-8CED-47E2-884A-21123DC5E508}</x14:id>
        </ext>
      </extLst>
    </cfRule>
  </conditionalFormatting>
  <conditionalFormatting sqref="D93">
    <cfRule type="dataBar" priority="4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{DF344928-DB58-454A-8CC0-E73F364A135B}</x14:id>
        </ext>
      </extLst>
    </cfRule>
  </conditionalFormatting>
  <conditionalFormatting sqref="R93 AF93">
    <cfRule type="dataBar" priority="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{2E19DAB1-62C4-4031-BF10-0E0BAE701EF4}</x14:id>
        </ext>
      </extLst>
    </cfRule>
  </conditionalFormatting>
  <conditionalFormatting sqref="W88">
    <cfRule type="dataBar" priority="2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{F1684C70-89BC-46D0-A4ED-5A2A339AEF9E}</x14:id>
        </ext>
      </extLst>
    </cfRule>
  </conditionalFormatting>
  <conditionalFormatting sqref="AL93:AL99">
    <cfRule type="dataBar" priority="3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{8D494CEA-3B7D-472A-BC4A-15444187E7EA}</x14:id>
        </ext>
      </extLst>
    </cfRule>
  </conditionalFormatting>
  <hyperlinks>
    <hyperlink ref="A1" location="Tracker!B2" display="Home" xr:uid="{305CD81D-1102-472E-AC11-9D755834CCB3}"/>
    <hyperlink ref="L1" location="JANUARY2026" display="Jan" xr:uid="{C5F547FB-EECA-4467-BF87-0D6CBA78D93A}"/>
    <hyperlink ref="M1" location="FEBRUARY2026" display="Feb" xr:uid="{F81387FE-461E-4315-A2C3-08EE90B4D5BE}"/>
    <hyperlink ref="N1" location="MARCH2026" display="Mar" xr:uid="{0AEAC8CF-A4C7-4688-B150-66CB42A3BA1D}"/>
    <hyperlink ref="O1" location="APRIL2026" display="Apr" xr:uid="{FAB4BD74-4F6D-4ADA-862D-9A9E66EAA189}"/>
    <hyperlink ref="P1" location="MAY_2026" display="May" xr:uid="{8D2F73AA-3219-4B91-A1BD-86693FA6CF71}"/>
    <hyperlink ref="Q1" location="JUNE2026" display="Jun" xr:uid="{A3FF9B87-6082-4AA8-8D86-C7681FE53D55}"/>
    <hyperlink ref="R1" location="JULY2026" display="Jul" xr:uid="{E2262770-AF14-41AB-B960-34875CAFC307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D69647-70F7-4B31-BC60-FE05E7E625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283FAB69-0992-4647-A3CD-A6075950C2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D23</xm:sqref>
        </x14:conditionalFormatting>
        <x14:conditionalFormatting xmlns:xm="http://schemas.microsoft.com/office/excel/2006/main">
          <x14:cfRule type="dataBar" id="{77B46F2F-C151-4BAA-8588-7DD781F7EE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D37</xm:sqref>
        </x14:conditionalFormatting>
        <x14:conditionalFormatting xmlns:xm="http://schemas.microsoft.com/office/excel/2006/main">
          <x14:cfRule type="dataBar" id="{CD510ECC-8753-47BB-A2F5-05BBFC0719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AF37 R37</xm:sqref>
        </x14:conditionalFormatting>
        <x14:conditionalFormatting xmlns:xm="http://schemas.microsoft.com/office/excel/2006/main">
          <x14:cfRule type="dataBar" id="{16FF151F-02E3-478F-99D5-766BAB02E6CC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W4</xm:sqref>
        </x14:conditionalFormatting>
        <x14:conditionalFormatting xmlns:xm="http://schemas.microsoft.com/office/excel/2006/main">
          <x14:cfRule type="dataBar" id="{6BA8D6BF-52F8-45F4-AFFC-5EAD417FC0CB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W18</xm:sqref>
        </x14:conditionalFormatting>
        <x14:conditionalFormatting xmlns:xm="http://schemas.microsoft.com/office/excel/2006/main">
          <x14:cfRule type="dataBar" id="{B32DB54E-182A-4C09-ACA3-6B1667566AF0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W32</xm:sqref>
        </x14:conditionalFormatting>
        <x14:conditionalFormatting xmlns:xm="http://schemas.microsoft.com/office/excel/2006/main">
          <x14:cfRule type="dataBar" id="{B7095668-C588-4391-8B24-5D0CFDE1237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AI23:AI29</xm:sqref>
        </x14:conditionalFormatting>
        <x14:conditionalFormatting xmlns:xm="http://schemas.microsoft.com/office/excel/2006/main">
          <x14:cfRule type="dataBar" id="{D8E2A7FE-A212-43C1-B471-5DF116DB2D6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AL9:AL15</xm:sqref>
        </x14:conditionalFormatting>
        <x14:conditionalFormatting xmlns:xm="http://schemas.microsoft.com/office/excel/2006/main">
          <x14:cfRule type="dataBar" id="{F2BCA952-3E8B-4860-AA7C-36EC11AA4BE2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AL37:AL43</xm:sqref>
        </x14:conditionalFormatting>
        <x14:conditionalFormatting xmlns:xm="http://schemas.microsoft.com/office/excel/2006/main">
          <x14:cfRule type="dataBar" id="{D97E524D-C636-408A-8C2E-35FD6A70CC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</xm:sqref>
        </x14:conditionalFormatting>
        <x14:conditionalFormatting xmlns:xm="http://schemas.microsoft.com/office/excel/2006/main">
          <x14:cfRule type="dataBar" id="{500D91D4-31D9-488B-BADC-CE3532A906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AF51 R51</xm:sqref>
        </x14:conditionalFormatting>
        <x14:conditionalFormatting xmlns:xm="http://schemas.microsoft.com/office/excel/2006/main">
          <x14:cfRule type="dataBar" id="{12DC9E74-1089-4EA2-A601-4DECE0AFE9F1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W46</xm:sqref>
        </x14:conditionalFormatting>
        <x14:conditionalFormatting xmlns:xm="http://schemas.microsoft.com/office/excel/2006/main">
          <x14:cfRule type="dataBar" id="{F9241725-D262-4370-9727-FB3BD1AAA798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AK51:AK57</xm:sqref>
        </x14:conditionalFormatting>
        <x14:conditionalFormatting xmlns:xm="http://schemas.microsoft.com/office/excel/2006/main">
          <x14:cfRule type="dataBar" id="{5D85DFCB-0AE2-4303-A745-62DE6653B7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D65</xm:sqref>
        </x14:conditionalFormatting>
        <x14:conditionalFormatting xmlns:xm="http://schemas.microsoft.com/office/excel/2006/main">
          <x14:cfRule type="dataBar" id="{12C511D8-E60D-46FC-AAE2-FE34734070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R65 AF65</xm:sqref>
        </x14:conditionalFormatting>
        <x14:conditionalFormatting xmlns:xm="http://schemas.microsoft.com/office/excel/2006/main">
          <x14:cfRule type="dataBar" id="{AA935871-AFDE-4BA1-87B0-4F16C7C42A09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W60</xm:sqref>
        </x14:conditionalFormatting>
        <x14:conditionalFormatting xmlns:xm="http://schemas.microsoft.com/office/excel/2006/main">
          <x14:cfRule type="dataBar" id="{6430122A-C0D3-417C-BE6F-6DF21AB44076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AL65:AL71</xm:sqref>
        </x14:conditionalFormatting>
        <x14:conditionalFormatting xmlns:xm="http://schemas.microsoft.com/office/excel/2006/main">
          <x14:cfRule type="dataBar" id="{2F64091A-290E-4CCE-AA8C-2DDDE709C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D79</xm:sqref>
        </x14:conditionalFormatting>
        <x14:conditionalFormatting xmlns:xm="http://schemas.microsoft.com/office/excel/2006/main">
          <x14:cfRule type="dataBar" id="{B131CD87-D859-423B-9E1D-A418A2829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AF79 R79</xm:sqref>
        </x14:conditionalFormatting>
        <x14:conditionalFormatting xmlns:xm="http://schemas.microsoft.com/office/excel/2006/main">
          <x14:cfRule type="dataBar" id="{66AEE7B2-E35D-4E03-A5AF-9CC4AB27D43A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W74</xm:sqref>
        </x14:conditionalFormatting>
        <x14:conditionalFormatting xmlns:xm="http://schemas.microsoft.com/office/excel/2006/main">
          <x14:cfRule type="dataBar" id="{065C07E4-8CED-47E2-884A-21123DC5E508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AK79:AK85</xm:sqref>
        </x14:conditionalFormatting>
        <x14:conditionalFormatting xmlns:xm="http://schemas.microsoft.com/office/excel/2006/main">
          <x14:cfRule type="dataBar" id="{DF344928-DB58-454A-8CC0-E73F364A13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D93</xm:sqref>
        </x14:conditionalFormatting>
        <x14:conditionalFormatting xmlns:xm="http://schemas.microsoft.com/office/excel/2006/main">
          <x14:cfRule type="dataBar" id="{2E19DAB1-62C4-4031-BF10-0E0BAE701E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R93 AF93</xm:sqref>
        </x14:conditionalFormatting>
        <x14:conditionalFormatting xmlns:xm="http://schemas.microsoft.com/office/excel/2006/main">
          <x14:cfRule type="dataBar" id="{F1684C70-89BC-46D0-A4ED-5A2A339AEF9E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W88</xm:sqref>
        </x14:conditionalFormatting>
        <x14:conditionalFormatting xmlns:xm="http://schemas.microsoft.com/office/excel/2006/main">
          <x14:cfRule type="dataBar" id="{8D494CEA-3B7D-472A-BC4A-15444187E7E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AL93:AL99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Tracker</vt:lpstr>
      <vt:lpstr>APRIL2026</vt:lpstr>
      <vt:lpstr>FEBRUARY2026</vt:lpstr>
      <vt:lpstr>JANUARY2026</vt:lpstr>
      <vt:lpstr>JULY2026</vt:lpstr>
      <vt:lpstr>JUNE2026</vt:lpstr>
      <vt:lpstr>MARCH2026</vt:lpstr>
      <vt:lpstr>MAY_2026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Jedrek Gabison</dc:creator>
  <cp:lastModifiedBy>Liam Jedrek Gabison</cp:lastModifiedBy>
  <dcterms:created xsi:type="dcterms:W3CDTF">2026-03-05T11:01:47Z</dcterms:created>
  <dcterms:modified xsi:type="dcterms:W3CDTF">2026-03-08T14:40:09Z</dcterms:modified>
</cp:coreProperties>
</file>