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7.xml" ContentType="application/vnd.openxmlformats-officedocument.themeOverrid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heme/themeOverride8.xml" ContentType="application/vnd.openxmlformats-officedocument.themeOverrid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9.xml" ContentType="application/vnd.openxmlformats-officedocument.themeOverrid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theme/themeOverride10.xml" ContentType="application/vnd.openxmlformats-officedocument.themeOverrid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heme/themeOverride11.xml" ContentType="application/vnd.openxmlformats-officedocument.themeOverrid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ecea47ed236db4/Documents/"/>
    </mc:Choice>
  </mc:AlternateContent>
  <xr:revisionPtr revIDLastSave="1268" documentId="8_{B4A92509-3616-4288-BBE3-4F78B3E6BF80}" xr6:coauthVersionLast="47" xr6:coauthVersionMax="47" xr10:uidLastSave="{314184BA-9F11-4FFB-A4CF-4CD474D52F99}"/>
  <bookViews>
    <workbookView xWindow="-120" yWindow="-120" windowWidth="29040" windowHeight="15720" xr2:uid="{2D96F968-432B-4D36-81A1-42C339CDBEC7}"/>
  </bookViews>
  <sheets>
    <sheet name="Tracker" sheetId="1" r:id="rId1"/>
  </sheets>
  <definedNames>
    <definedName name="APRIL2026">Tracker!$D$54</definedName>
    <definedName name="AUGUST2026">Tracker!$D$122</definedName>
    <definedName name="DECEMBER2026">Tracker!$D$190</definedName>
    <definedName name="FEBRUARY2026">Tracker!$D$20</definedName>
    <definedName name="JANUARY2026">Tracker!$D$3</definedName>
    <definedName name="JULY2026">Tracker!$D$105</definedName>
    <definedName name="JUNE2026">Tracker!$D$88</definedName>
    <definedName name="MARCH2026">Tracker!$D$37</definedName>
    <definedName name="MAY_2026">Tracker!$D$71</definedName>
    <definedName name="NOVEMBER2026">Tracker!$D$173</definedName>
    <definedName name="OCTOBER2026">Tracker!$D$156</definedName>
    <definedName name="SEPTEMBER2026">Tracker!$D$139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01" i="1" l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D84" i="1"/>
  <c r="AK202" i="1"/>
  <c r="AJ202" i="1"/>
  <c r="AK201" i="1"/>
  <c r="AL201" i="1" s="1"/>
  <c r="AJ201" i="1"/>
  <c r="AK200" i="1"/>
  <c r="AL200" i="1" s="1"/>
  <c r="AJ200" i="1"/>
  <c r="AK199" i="1"/>
  <c r="AL199" i="1" s="1"/>
  <c r="AJ199" i="1"/>
  <c r="AK198" i="1"/>
  <c r="AL198" i="1" s="1"/>
  <c r="AJ198" i="1"/>
  <c r="AK197" i="1"/>
  <c r="AL197" i="1" s="1"/>
  <c r="AJ197" i="1"/>
  <c r="AK196" i="1"/>
  <c r="AL196" i="1" s="1"/>
  <c r="AJ196" i="1"/>
  <c r="AB191" i="1"/>
  <c r="W191" i="1"/>
  <c r="S191" i="1"/>
  <c r="N191" i="1"/>
  <c r="AJ185" i="1"/>
  <c r="AK185" i="1" s="1"/>
  <c r="AI185" i="1"/>
  <c r="AJ184" i="1"/>
  <c r="AK184" i="1" s="1"/>
  <c r="AI184" i="1"/>
  <c r="AJ183" i="1"/>
  <c r="AK183" i="1" s="1"/>
  <c r="AI183" i="1"/>
  <c r="AJ182" i="1"/>
  <c r="AK182" i="1" s="1"/>
  <c r="AI182" i="1"/>
  <c r="AJ181" i="1"/>
  <c r="AK181" i="1" s="1"/>
  <c r="AI181" i="1"/>
  <c r="AJ180" i="1"/>
  <c r="AK180" i="1" s="1"/>
  <c r="AI180" i="1"/>
  <c r="AJ179" i="1"/>
  <c r="AK179" i="1" s="1"/>
  <c r="AI179" i="1"/>
  <c r="AB174" i="1"/>
  <c r="W174" i="1"/>
  <c r="S174" i="1"/>
  <c r="N174" i="1"/>
  <c r="AK168" i="1"/>
  <c r="AL168" i="1" s="1"/>
  <c r="AJ168" i="1"/>
  <c r="AK167" i="1"/>
  <c r="AL167" i="1" s="1"/>
  <c r="AJ167" i="1"/>
  <c r="AK166" i="1"/>
  <c r="AL166" i="1" s="1"/>
  <c r="AJ166" i="1"/>
  <c r="AK165" i="1"/>
  <c r="AL165" i="1" s="1"/>
  <c r="AJ165" i="1"/>
  <c r="AK164" i="1"/>
  <c r="AL164" i="1" s="1"/>
  <c r="AJ164" i="1"/>
  <c r="AK163" i="1"/>
  <c r="AL163" i="1" s="1"/>
  <c r="AJ163" i="1"/>
  <c r="AK162" i="1"/>
  <c r="AL162" i="1" s="1"/>
  <c r="AJ162" i="1"/>
  <c r="AB157" i="1"/>
  <c r="W157" i="1"/>
  <c r="S157" i="1"/>
  <c r="N157" i="1"/>
  <c r="AJ151" i="1"/>
  <c r="AK151" i="1" s="1"/>
  <c r="AI151" i="1"/>
  <c r="AK150" i="1"/>
  <c r="AJ150" i="1"/>
  <c r="AI150" i="1"/>
  <c r="AJ149" i="1"/>
  <c r="AK149" i="1" s="1"/>
  <c r="AI149" i="1"/>
  <c r="AJ148" i="1"/>
  <c r="AK148" i="1" s="1"/>
  <c r="AI148" i="1"/>
  <c r="AJ147" i="1"/>
  <c r="AK147" i="1" s="1"/>
  <c r="AI147" i="1"/>
  <c r="AK146" i="1"/>
  <c r="AJ146" i="1"/>
  <c r="AI146" i="1"/>
  <c r="AJ145" i="1"/>
  <c r="AK145" i="1" s="1"/>
  <c r="AI145" i="1"/>
  <c r="AB140" i="1"/>
  <c r="W140" i="1"/>
  <c r="S140" i="1"/>
  <c r="N140" i="1"/>
  <c r="AK134" i="1"/>
  <c r="AJ134" i="1"/>
  <c r="AK133" i="1"/>
  <c r="AL133" i="1" s="1"/>
  <c r="AJ133" i="1"/>
  <c r="AK132" i="1"/>
  <c r="AL132" i="1" s="1"/>
  <c r="AJ132" i="1"/>
  <c r="AK131" i="1"/>
  <c r="AL131" i="1" s="1"/>
  <c r="AJ131" i="1"/>
  <c r="AK130" i="1"/>
  <c r="AL130" i="1" s="1"/>
  <c r="AJ130" i="1"/>
  <c r="AK129" i="1"/>
  <c r="AL129" i="1" s="1"/>
  <c r="AJ129" i="1"/>
  <c r="AK128" i="1"/>
  <c r="AL128" i="1" s="1"/>
  <c r="AJ128" i="1"/>
  <c r="AB123" i="1"/>
  <c r="W123" i="1"/>
  <c r="S123" i="1"/>
  <c r="N123" i="1"/>
  <c r="AK117" i="1"/>
  <c r="AJ117" i="1"/>
  <c r="AK116" i="1"/>
  <c r="AL116" i="1" s="1"/>
  <c r="AJ116" i="1"/>
  <c r="AK115" i="1"/>
  <c r="AL115" i="1" s="1"/>
  <c r="AJ115" i="1"/>
  <c r="AK114" i="1"/>
  <c r="AL114" i="1" s="1"/>
  <c r="AJ114" i="1"/>
  <c r="AK113" i="1"/>
  <c r="AL113" i="1" s="1"/>
  <c r="AJ113" i="1"/>
  <c r="AK112" i="1"/>
  <c r="AL112" i="1" s="1"/>
  <c r="AJ112" i="1"/>
  <c r="AK111" i="1"/>
  <c r="AL111" i="1" s="1"/>
  <c r="AJ111" i="1"/>
  <c r="AB106" i="1"/>
  <c r="W106" i="1"/>
  <c r="S106" i="1"/>
  <c r="N106" i="1"/>
  <c r="AJ100" i="1"/>
  <c r="AI100" i="1"/>
  <c r="AJ99" i="1"/>
  <c r="AI99" i="1"/>
  <c r="AJ98" i="1"/>
  <c r="AK98" i="1" s="1"/>
  <c r="AI98" i="1"/>
  <c r="AJ97" i="1"/>
  <c r="AK97" i="1" s="1"/>
  <c r="AI97" i="1"/>
  <c r="AJ96" i="1"/>
  <c r="AK96" i="1" s="1"/>
  <c r="AI96" i="1"/>
  <c r="AJ95" i="1"/>
  <c r="AK95" i="1" s="1"/>
  <c r="AI95" i="1"/>
  <c r="AJ94" i="1"/>
  <c r="AK94" i="1" s="1"/>
  <c r="AI94" i="1"/>
  <c r="AB89" i="1"/>
  <c r="W89" i="1"/>
  <c r="S89" i="1"/>
  <c r="N89" i="1"/>
  <c r="AK83" i="1"/>
  <c r="AL83" i="1" s="1"/>
  <c r="AJ83" i="1"/>
  <c r="AK82" i="1"/>
  <c r="AL82" i="1" s="1"/>
  <c r="AJ82" i="1"/>
  <c r="AK81" i="1"/>
  <c r="AL81" i="1" s="1"/>
  <c r="AJ81" i="1"/>
  <c r="AK80" i="1"/>
  <c r="AL80" i="1" s="1"/>
  <c r="AJ80" i="1"/>
  <c r="AK79" i="1"/>
  <c r="AL79" i="1" s="1"/>
  <c r="AJ79" i="1"/>
  <c r="AK78" i="1"/>
  <c r="AL78" i="1" s="1"/>
  <c r="AJ78" i="1"/>
  <c r="AK77" i="1"/>
  <c r="AL77" i="1" s="1"/>
  <c r="AJ77" i="1"/>
  <c r="AB72" i="1"/>
  <c r="W72" i="1"/>
  <c r="S72" i="1"/>
  <c r="N72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D67" i="1"/>
  <c r="AJ66" i="1"/>
  <c r="AI66" i="1"/>
  <c r="AJ65" i="1"/>
  <c r="AI65" i="1"/>
  <c r="AJ64" i="1"/>
  <c r="AI64" i="1"/>
  <c r="AJ63" i="1"/>
  <c r="AI63" i="1"/>
  <c r="AJ62" i="1"/>
  <c r="AI62" i="1"/>
  <c r="AJ61" i="1"/>
  <c r="AI61" i="1"/>
  <c r="AJ60" i="1"/>
  <c r="AI60" i="1"/>
  <c r="AB55" i="1"/>
  <c r="W55" i="1"/>
  <c r="S55" i="1"/>
  <c r="N55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AA50" i="1"/>
  <c r="AB50" i="1"/>
  <c r="AC50" i="1"/>
  <c r="AD50" i="1"/>
  <c r="AE50" i="1"/>
  <c r="AF50" i="1"/>
  <c r="AG50" i="1"/>
  <c r="AH50" i="1"/>
  <c r="D50" i="1"/>
  <c r="AK49" i="1"/>
  <c r="AJ49" i="1"/>
  <c r="AK48" i="1"/>
  <c r="AJ48" i="1"/>
  <c r="AK47" i="1"/>
  <c r="AJ47" i="1"/>
  <c r="AK46" i="1"/>
  <c r="AJ46" i="1"/>
  <c r="AK45" i="1"/>
  <c r="AJ45" i="1"/>
  <c r="AK44" i="1"/>
  <c r="AJ44" i="1"/>
  <c r="AK43" i="1"/>
  <c r="AJ43" i="1"/>
  <c r="AB38" i="1"/>
  <c r="W38" i="1"/>
  <c r="S38" i="1"/>
  <c r="N38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AH32" i="1"/>
  <c r="AG32" i="1"/>
  <c r="AH31" i="1"/>
  <c r="AG31" i="1"/>
  <c r="AH30" i="1"/>
  <c r="AG30" i="1"/>
  <c r="AH29" i="1"/>
  <c r="AG29" i="1"/>
  <c r="AH28" i="1"/>
  <c r="AI28" i="1" s="1"/>
  <c r="AG28" i="1"/>
  <c r="AH27" i="1"/>
  <c r="AG27" i="1"/>
  <c r="AH26" i="1"/>
  <c r="AG26" i="1"/>
  <c r="AB21" i="1"/>
  <c r="W21" i="1"/>
  <c r="S21" i="1"/>
  <c r="N21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AJ15" i="1"/>
  <c r="AJ14" i="1"/>
  <c r="AJ13" i="1"/>
  <c r="AJ12" i="1"/>
  <c r="AJ11" i="1"/>
  <c r="AJ10" i="1"/>
  <c r="AJ9" i="1"/>
  <c r="AB4" i="1"/>
  <c r="W4" i="1"/>
  <c r="AK10" i="1"/>
  <c r="AK11" i="1"/>
  <c r="AK12" i="1"/>
  <c r="AK13" i="1"/>
  <c r="AK14" i="1"/>
  <c r="AK15" i="1"/>
  <c r="AK9" i="1"/>
  <c r="S4" i="1"/>
  <c r="N4" i="1"/>
  <c r="AL202" i="1" l="1"/>
  <c r="AL134" i="1"/>
  <c r="AL117" i="1"/>
  <c r="AK100" i="1"/>
  <c r="AK99" i="1"/>
  <c r="AL48" i="1"/>
  <c r="AI31" i="1"/>
  <c r="AL49" i="1"/>
  <c r="AK60" i="1"/>
  <c r="AK66" i="1"/>
  <c r="AK61" i="1"/>
  <c r="AK64" i="1"/>
  <c r="AL45" i="1"/>
  <c r="AL46" i="1"/>
  <c r="AI29" i="1"/>
  <c r="AL47" i="1"/>
  <c r="AK63" i="1"/>
  <c r="AI30" i="1"/>
  <c r="AK62" i="1"/>
  <c r="AL43" i="1"/>
  <c r="AK65" i="1"/>
  <c r="AI26" i="1"/>
  <c r="AI32" i="1"/>
  <c r="AI27" i="1"/>
  <c r="AL44" i="1"/>
  <c r="AL10" i="1"/>
  <c r="AL11" i="1"/>
  <c r="AL13" i="1"/>
  <c r="AL12" i="1"/>
  <c r="AL9" i="1"/>
  <c r="AL15" i="1"/>
  <c r="AL14" i="1"/>
</calcChain>
</file>

<file path=xl/sharedStrings.xml><?xml version="1.0" encoding="utf-8"?>
<sst xmlns="http://schemas.openxmlformats.org/spreadsheetml/2006/main" count="642" uniqueCount="54">
  <si>
    <t>2026 HABIT TRACKER</t>
  </si>
  <si>
    <t>Habits</t>
  </si>
  <si>
    <t>Sa</t>
  </si>
  <si>
    <t>Su</t>
  </si>
  <si>
    <t>Mo</t>
  </si>
  <si>
    <t>Tu</t>
  </si>
  <si>
    <t>We</t>
  </si>
  <si>
    <t>Th</t>
  </si>
  <si>
    <t>Fr</t>
  </si>
  <si>
    <t>Week 1</t>
  </si>
  <si>
    <t>Week 2</t>
  </si>
  <si>
    <t>Week 3</t>
  </si>
  <si>
    <t>Week 4</t>
  </si>
  <si>
    <t>Last 3 Days</t>
  </si>
  <si>
    <t>Habit  1</t>
  </si>
  <si>
    <t>Habit 2</t>
  </si>
  <si>
    <t>Habit 3</t>
  </si>
  <si>
    <t>Habit 4</t>
  </si>
  <si>
    <t>So on…</t>
  </si>
  <si>
    <t>Habit  5</t>
  </si>
  <si>
    <t>Habit  6</t>
  </si>
  <si>
    <t>Number of Habits</t>
  </si>
  <si>
    <t>JANUARY</t>
  </si>
  <si>
    <t>Number of Habits Completed</t>
  </si>
  <si>
    <t>Analysis</t>
  </si>
  <si>
    <t>Goal</t>
  </si>
  <si>
    <t>Actual</t>
  </si>
  <si>
    <t>Progress</t>
  </si>
  <si>
    <t>Progress in %</t>
  </si>
  <si>
    <t>May</t>
  </si>
  <si>
    <t>Home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</si>
  <si>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</si>
  <si>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</si>
  <si>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</si>
  <si>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</si>
  <si>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</si>
  <si>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</si>
  <si>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</si>
  <si>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</si>
  <si>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</si>
  <si>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</si>
  <si>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</si>
  <si>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FEBRUARY</t>
  </si>
  <si>
    <t>MARCH</t>
  </si>
  <si>
    <t xml:space="preserve">We 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</si>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</sst>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36"/>
      <color theme="0"/>
      <name val="Cascadia Mono SemiBold"/>
      <family val="3"/>
    </font>
    <font>
      <sz val="8"/>
      <name val="Aptos Narrow"/>
      <family val="2"/>
      <scheme val="minor"/>
    </font>
    <font>
      <b/>
      <sz val="28"/>
      <color theme="0"/>
      <name val="Rockwell"/>
      <family val="1"/>
    </font>
    <font>
      <b/>
      <sz val="11"/>
      <color theme="0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0"/>
      <name val="Cascadia Mono SemiBold"/>
      <family val="3"/>
    </font>
    <font>
      <sz val="11"/>
      <color theme="0"/>
      <name val="Aharoni"/>
      <charset val="177"/>
    </font>
    <font>
      <u/>
      <sz val="11"/>
      <color theme="10"/>
      <name val="Aptos Narrow"/>
      <family val="2"/>
      <scheme val="minor"/>
    </font>
    <font>
      <b/>
      <sz val="12"/>
      <color theme="0"/>
      <name val="Aharoni"/>
      <charset val="177"/>
    </font>
    <font>
      <b/>
      <sz val="18"/>
      <color theme="1"/>
      <name val="Aptos Narrow"/>
      <family val="2"/>
      <scheme val="minor"/>
    </font>
    <font>
      <b/>
      <i/>
      <u/>
      <sz val="12"/>
      <color theme="0" tint="-4.9989318521683403E-2"/>
      <name val="Century Gothic"/>
      <family val="2"/>
    </font>
    <font>
      <b/>
      <sz val="11"/>
      <name val="Aptos Narrow"/>
      <family val="2"/>
      <scheme val="minor"/>
    </font>
    <font>
      <b/>
      <sz val="18"/>
      <name val="Aptos Narrow"/>
      <family val="2"/>
      <scheme val="minor"/>
    </font>
    <font>
      <b/>
      <sz val="18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 tint="-0.89999084444715716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611111"/>
        <bgColor indexed="64"/>
      </patternFill>
    </fill>
    <fill>
      <patternFill patternType="solid">
        <fgColor rgb="FFFBD7D7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390C5A"/>
        <bgColor indexed="64"/>
      </patternFill>
    </fill>
    <fill>
      <patternFill patternType="solid">
        <fgColor rgb="FF4F117D"/>
        <bgColor indexed="64"/>
      </patternFill>
    </fill>
    <fill>
      <patternFill patternType="solid">
        <fgColor rgb="FFE5CCF8"/>
        <bgColor indexed="64"/>
      </patternFill>
    </fill>
    <fill>
      <patternFill patternType="solid">
        <fgColor rgb="FF006666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A50021"/>
        <bgColor indexed="64"/>
      </patternFill>
    </fill>
    <fill>
      <patternFill patternType="solid">
        <fgColor rgb="FFFFABAB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619">
    <xf numFmtId="0" fontId="0" fillId="0" borderId="0" xfId="0"/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4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0" xfId="0" applyFill="1"/>
    <xf numFmtId="0" fontId="0" fillId="0" borderId="1" xfId="0" applyBorder="1" applyAlignment="1">
      <alignment horizontal="center" vertical="center"/>
    </xf>
    <xf numFmtId="10" fontId="10" fillId="0" borderId="1" xfId="0" applyNumberFormat="1" applyFont="1" applyBorder="1" applyAlignment="1">
      <alignment horizontal="center" vertical="center"/>
    </xf>
    <xf numFmtId="0" fontId="3" fillId="3" borderId="3" xfId="0" applyFont="1" applyFill="1" applyBorder="1"/>
    <xf numFmtId="0" fontId="3" fillId="3" borderId="10" xfId="0" applyFont="1" applyFill="1" applyBorder="1"/>
    <xf numFmtId="0" fontId="7" fillId="3" borderId="10" xfId="0" applyFont="1" applyFill="1" applyBorder="1" applyAlignment="1">
      <alignment horizontal="center" vertical="center"/>
    </xf>
    <xf numFmtId="0" fontId="0" fillId="3" borderId="10" xfId="0" applyFill="1" applyBorder="1"/>
    <xf numFmtId="0" fontId="3" fillId="3" borderId="11" xfId="0" applyFont="1" applyFill="1" applyBorder="1"/>
    <xf numFmtId="0" fontId="3" fillId="3" borderId="5" xfId="0" applyFont="1" applyFill="1" applyBorder="1"/>
    <xf numFmtId="0" fontId="3" fillId="3" borderId="2" xfId="0" applyFont="1" applyFill="1" applyBorder="1"/>
    <xf numFmtId="0" fontId="3" fillId="3" borderId="2" xfId="0" applyFont="1" applyFill="1" applyBorder="1" applyAlignment="1">
      <alignment horizontal="center" vertical="top"/>
    </xf>
    <xf numFmtId="0" fontId="0" fillId="3" borderId="2" xfId="0" applyFill="1" applyBorder="1"/>
    <xf numFmtId="9" fontId="3" fillId="3" borderId="2" xfId="1" applyFont="1" applyFill="1" applyBorder="1" applyAlignment="1">
      <alignment horizontal="center" vertical="center"/>
    </xf>
    <xf numFmtId="0" fontId="3" fillId="3" borderId="12" xfId="0" applyFont="1" applyFill="1" applyBorder="1"/>
    <xf numFmtId="0" fontId="11" fillId="2" borderId="0" xfId="0" applyFont="1" applyFill="1" applyAlignment="1">
      <alignment vertical="center"/>
    </xf>
    <xf numFmtId="0" fontId="12" fillId="5" borderId="0" xfId="0" applyFont="1" applyFill="1" applyAlignment="1">
      <alignment horizontal="center" vertical="center"/>
    </xf>
    <xf numFmtId="0" fontId="14" fillId="2" borderId="0" xfId="2" applyFont="1" applyFill="1" applyAlignment="1">
      <alignment horizontal="center" vertical="center"/>
    </xf>
    <xf numFmtId="0" fontId="12" fillId="5" borderId="0" xfId="2" applyFont="1" applyFill="1" applyAlignment="1">
      <alignment horizontal="center" vertical="center"/>
    </xf>
    <xf numFmtId="0" fontId="3" fillId="0" borderId="0" xfId="0" applyFont="1"/>
    <xf numFmtId="0" fontId="16" fillId="2" borderId="0" xfId="0" applyFont="1" applyFill="1" applyAlignment="1">
      <alignment horizontal="center" vertical="center"/>
    </xf>
    <xf numFmtId="0" fontId="3" fillId="7" borderId="3" xfId="0" applyFont="1" applyFill="1" applyBorder="1"/>
    <xf numFmtId="0" fontId="3" fillId="7" borderId="10" xfId="0" applyFont="1" applyFill="1" applyBorder="1"/>
    <xf numFmtId="0" fontId="7" fillId="7" borderId="10" xfId="0" applyFont="1" applyFill="1" applyBorder="1" applyAlignment="1">
      <alignment horizontal="center" vertical="center"/>
    </xf>
    <xf numFmtId="0" fontId="0" fillId="7" borderId="10" xfId="0" applyFill="1" applyBorder="1"/>
    <xf numFmtId="0" fontId="3" fillId="7" borderId="11" xfId="0" applyFont="1" applyFill="1" applyBorder="1"/>
    <xf numFmtId="0" fontId="3" fillId="7" borderId="5" xfId="0" applyFont="1" applyFill="1" applyBorder="1"/>
    <xf numFmtId="0" fontId="3" fillId="7" borderId="2" xfId="0" applyFont="1" applyFill="1" applyBorder="1"/>
    <xf numFmtId="0" fontId="3" fillId="7" borderId="2" xfId="0" applyFont="1" applyFill="1" applyBorder="1" applyAlignment="1">
      <alignment horizontal="center" vertical="top"/>
    </xf>
    <xf numFmtId="0" fontId="0" fillId="7" borderId="2" xfId="0" applyFill="1" applyBorder="1"/>
    <xf numFmtId="9" fontId="3" fillId="7" borderId="2" xfId="1" applyFont="1" applyFill="1" applyBorder="1" applyAlignment="1">
      <alignment horizontal="center" vertical="center"/>
    </xf>
    <xf numFmtId="0" fontId="3" fillId="7" borderId="12" xfId="0" applyFont="1" applyFill="1" applyBorder="1"/>
    <xf numFmtId="0" fontId="1" fillId="7" borderId="1" xfId="0" applyFont="1" applyFill="1" applyBorder="1" applyAlignment="1">
      <alignment horizontal="center"/>
    </xf>
    <xf numFmtId="0" fontId="3" fillId="7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7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8" borderId="1" xfId="0" applyFont="1" applyFill="1" applyBorder="1" applyAlignment="1">
      <alignment horizontal="center"/>
    </xf>
    <xf numFmtId="0" fontId="0" fillId="8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8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0" fillId="4" borderId="7" xfId="0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4" borderId="9" xfId="0" applyFill="1" applyBorder="1" applyAlignment="1">
      <alignment vertical="center"/>
    </xf>
    <xf numFmtId="0" fontId="0" fillId="8" borderId="7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9" xfId="0" applyFill="1" applyBorder="1" applyAlignment="1">
      <alignment vertical="center"/>
    </xf>
    <xf numFmtId="0" fontId="3" fillId="9" borderId="3" xfId="0" applyFont="1" applyFill="1" applyBorder="1"/>
    <xf numFmtId="0" fontId="3" fillId="9" borderId="10" xfId="0" applyFont="1" applyFill="1" applyBorder="1"/>
    <xf numFmtId="0" fontId="7" fillId="9" borderId="10" xfId="0" applyFont="1" applyFill="1" applyBorder="1" applyAlignment="1">
      <alignment horizontal="center" vertical="center"/>
    </xf>
    <xf numFmtId="0" fontId="0" fillId="9" borderId="10" xfId="0" applyFill="1" applyBorder="1"/>
    <xf numFmtId="0" fontId="3" fillId="9" borderId="11" xfId="0" applyFont="1" applyFill="1" applyBorder="1"/>
    <xf numFmtId="0" fontId="3" fillId="9" borderId="5" xfId="0" applyFont="1" applyFill="1" applyBorder="1"/>
    <xf numFmtId="0" fontId="3" fillId="9" borderId="2" xfId="0" applyFont="1" applyFill="1" applyBorder="1"/>
    <xf numFmtId="0" fontId="3" fillId="9" borderId="2" xfId="0" applyFont="1" applyFill="1" applyBorder="1" applyAlignment="1">
      <alignment horizontal="center" vertical="top"/>
    </xf>
    <xf numFmtId="0" fontId="0" fillId="9" borderId="2" xfId="0" applyFill="1" applyBorder="1"/>
    <xf numFmtId="9" fontId="3" fillId="9" borderId="2" xfId="1" applyFont="1" applyFill="1" applyBorder="1" applyAlignment="1">
      <alignment horizontal="center" vertical="center"/>
    </xf>
    <xf numFmtId="0" fontId="3" fillId="9" borderId="12" xfId="0" applyFont="1" applyFill="1" applyBorder="1"/>
    <xf numFmtId="0" fontId="1" fillId="9" borderId="1" xfId="0" applyFont="1" applyFill="1" applyBorder="1" applyAlignment="1">
      <alignment horizontal="center"/>
    </xf>
    <xf numFmtId="0" fontId="3" fillId="9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9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7" xfId="0" applyFill="1" applyBorder="1" applyAlignment="1">
      <alignment vertical="center"/>
    </xf>
    <xf numFmtId="0" fontId="0" fillId="10" borderId="8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2" fillId="10" borderId="1" xfId="0" applyFont="1" applyFill="1" applyBorder="1" applyAlignment="1">
      <alignment horizontal="center"/>
    </xf>
    <xf numFmtId="0" fontId="0" fillId="10" borderId="3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0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1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4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0" xfId="0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6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5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0" borderId="12" xfId="0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11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/>
    </xf>
    <xf numFmtId="0" fontId="13" fillId="2" borderId="0" xfId="2" applyFill="1" applyAlignment="1">
      <alignment horizontal="center" vertical="center"/>
    </xf>
    <xf numFmtId="0" fontId="3" fillId="12" borderId="3" xfId="0" applyFont="1" applyFill="1" applyBorder="1"/>
    <xf numFmtId="0" fontId="3" fillId="12" borderId="10" xfId="0" applyFont="1" applyFill="1" applyBorder="1"/>
    <xf numFmtId="0" fontId="7" fillId="12" borderId="10" xfId="0" applyFont="1" applyFill="1" applyBorder="1" applyAlignment="1">
      <alignment horizontal="center" vertical="center"/>
    </xf>
    <xf numFmtId="0" fontId="0" fillId="12" borderId="10" xfId="0" applyFill="1" applyBorder="1"/>
    <xf numFmtId="0" fontId="3" fillId="12" borderId="5" xfId="0" applyFont="1" applyFill="1" applyBorder="1"/>
    <xf numFmtId="0" fontId="3" fillId="12" borderId="2" xfId="0" applyFont="1" applyFill="1" applyBorder="1"/>
    <xf numFmtId="0" fontId="3" fillId="12" borderId="2" xfId="0" applyFont="1" applyFill="1" applyBorder="1" applyAlignment="1">
      <alignment horizontal="center" vertical="top"/>
    </xf>
    <xf numFmtId="0" fontId="0" fillId="12" borderId="2" xfId="0" applyFill="1" applyBorder="1"/>
    <xf numFmtId="9" fontId="3" fillId="12" borderId="2" xfId="1" applyFont="1" applyFill="1" applyBorder="1" applyAlignment="1">
      <alignment horizontal="center" vertical="center"/>
    </xf>
    <xf numFmtId="0" fontId="10" fillId="13" borderId="7" xfId="0" applyFont="1" applyFill="1" applyBorder="1" applyAlignment="1">
      <alignment vertical="center"/>
    </xf>
    <xf numFmtId="0" fontId="10" fillId="13" borderId="8" xfId="0" applyFont="1" applyFill="1" applyBorder="1" applyAlignment="1">
      <alignment vertical="center"/>
    </xf>
    <xf numFmtId="0" fontId="10" fillId="13" borderId="9" xfId="0" applyFont="1" applyFill="1" applyBorder="1" applyAlignment="1">
      <alignment vertical="center"/>
    </xf>
    <xf numFmtId="0" fontId="17" fillId="14" borderId="1" xfId="0" applyFont="1" applyFill="1" applyBorder="1" applyAlignment="1">
      <alignment horizontal="center"/>
    </xf>
    <xf numFmtId="0" fontId="10" fillId="14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4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13" borderId="1" xfId="0" applyFont="1" applyFill="1" applyBorder="1" applyAlignment="1">
      <alignment horizontal="center"/>
    </xf>
    <xf numFmtId="0" fontId="10" fillId="1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14" borderId="1" xfId="0" applyFont="1" applyFill="1" applyBorder="1" applyAlignment="1">
      <alignment horizontal="center" vertical="center"/>
    </xf>
    <xf numFmtId="0" fontId="3" fillId="15" borderId="3" xfId="0" applyFont="1" applyFill="1" applyBorder="1"/>
    <xf numFmtId="0" fontId="3" fillId="15" borderId="10" xfId="0" applyFont="1" applyFill="1" applyBorder="1"/>
    <xf numFmtId="0" fontId="7" fillId="15" borderId="10" xfId="0" applyFont="1" applyFill="1" applyBorder="1" applyAlignment="1">
      <alignment horizontal="center" vertical="center"/>
    </xf>
    <xf numFmtId="0" fontId="0" fillId="15" borderId="10" xfId="0" applyFill="1" applyBorder="1"/>
    <xf numFmtId="0" fontId="3" fillId="15" borderId="11" xfId="0" applyFont="1" applyFill="1" applyBorder="1"/>
    <xf numFmtId="0" fontId="3" fillId="15" borderId="5" xfId="0" applyFont="1" applyFill="1" applyBorder="1"/>
    <xf numFmtId="0" fontId="3" fillId="15" borderId="2" xfId="0" applyFont="1" applyFill="1" applyBorder="1"/>
    <xf numFmtId="0" fontId="3" fillId="15" borderId="2" xfId="0" applyFont="1" applyFill="1" applyBorder="1" applyAlignment="1">
      <alignment horizontal="center" vertical="top"/>
    </xf>
    <xf numFmtId="0" fontId="0" fillId="15" borderId="2" xfId="0" applyFill="1" applyBorder="1"/>
    <xf numFmtId="9" fontId="3" fillId="15" borderId="2" xfId="1" applyFont="1" applyFill="1" applyBorder="1" applyAlignment="1">
      <alignment horizontal="center" vertical="center"/>
    </xf>
    <xf numFmtId="0" fontId="3" fillId="15" borderId="12" xfId="0" applyFont="1" applyFill="1" applyBorder="1"/>
    <xf numFmtId="0" fontId="10" fillId="4" borderId="7" xfId="0" applyFont="1" applyFill="1" applyBorder="1" applyAlignment="1">
      <alignment vertical="center"/>
    </xf>
    <xf numFmtId="0" fontId="10" fillId="4" borderId="8" xfId="0" applyFont="1" applyFill="1" applyBorder="1" applyAlignment="1">
      <alignment vertical="center"/>
    </xf>
    <xf numFmtId="0" fontId="10" fillId="4" borderId="9" xfId="0" applyFont="1" applyFill="1" applyBorder="1" applyAlignment="1">
      <alignment vertical="center"/>
    </xf>
    <xf numFmtId="0" fontId="17" fillId="16" borderId="1" xfId="0" applyFont="1" applyFill="1" applyBorder="1" applyAlignment="1">
      <alignment horizontal="center"/>
    </xf>
    <xf numFmtId="0" fontId="10" fillId="16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6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4" borderId="1" xfId="0" applyFont="1" applyFill="1" applyBorder="1" applyAlignment="1">
      <alignment horizontal="center"/>
    </xf>
    <xf numFmtId="0" fontId="10" fillId="4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17" borderId="1" xfId="0" applyFont="1" applyFill="1" applyBorder="1" applyAlignment="1">
      <alignment horizontal="center" vertical="center"/>
    </xf>
    <xf numFmtId="0" fontId="3" fillId="18" borderId="3" xfId="0" applyFont="1" applyFill="1" applyBorder="1"/>
    <xf numFmtId="0" fontId="3" fillId="18" borderId="10" xfId="0" applyFont="1" applyFill="1" applyBorder="1"/>
    <xf numFmtId="0" fontId="7" fillId="18" borderId="10" xfId="0" applyFont="1" applyFill="1" applyBorder="1" applyAlignment="1">
      <alignment horizontal="center" vertical="center"/>
    </xf>
    <xf numFmtId="0" fontId="0" fillId="18" borderId="10" xfId="0" applyFill="1" applyBorder="1"/>
    <xf numFmtId="0" fontId="3" fillId="18" borderId="5" xfId="0" applyFont="1" applyFill="1" applyBorder="1"/>
    <xf numFmtId="0" fontId="3" fillId="18" borderId="2" xfId="0" applyFont="1" applyFill="1" applyBorder="1"/>
    <xf numFmtId="0" fontId="3" fillId="18" borderId="2" xfId="0" applyFont="1" applyFill="1" applyBorder="1" applyAlignment="1">
      <alignment horizontal="center" vertical="top"/>
    </xf>
    <xf numFmtId="0" fontId="0" fillId="18" borderId="2" xfId="0" applyFill="1" applyBorder="1"/>
    <xf numFmtId="9" fontId="3" fillId="18" borderId="2" xfId="1" applyFont="1" applyFill="1" applyBorder="1" applyAlignment="1">
      <alignment horizontal="center" vertical="center"/>
    </xf>
    <xf numFmtId="0" fontId="10" fillId="19" borderId="7" xfId="0" applyFont="1" applyFill="1" applyBorder="1" applyAlignment="1">
      <alignment vertical="center"/>
    </xf>
    <xf numFmtId="0" fontId="10" fillId="19" borderId="8" xfId="0" applyFont="1" applyFill="1" applyBorder="1" applyAlignment="1">
      <alignment vertical="center"/>
    </xf>
    <xf numFmtId="0" fontId="10" fillId="19" borderId="9" xfId="0" applyFont="1" applyFill="1" applyBorder="1" applyAlignment="1">
      <alignment vertical="center"/>
    </xf>
    <xf numFmtId="0" fontId="17" fillId="19" borderId="1" xfId="0" applyFont="1" applyFill="1" applyBorder="1" applyAlignment="1">
      <alignment horizontal="center"/>
    </xf>
    <xf numFmtId="0" fontId="10" fillId="19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19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0" borderId="1" xfId="0" applyFont="1" applyFill="1" applyBorder="1" applyAlignment="1">
      <alignment horizontal="center"/>
    </xf>
    <xf numFmtId="0" fontId="3" fillId="20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0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0" borderId="1" xfId="0" applyFont="1" applyFill="1" applyBorder="1" applyAlignment="1">
      <alignment horizontal="center" vertical="center"/>
    </xf>
    <xf numFmtId="0" fontId="10" fillId="21" borderId="7" xfId="0" applyFont="1" applyFill="1" applyBorder="1" applyAlignment="1">
      <alignment vertical="center"/>
    </xf>
    <xf numFmtId="0" fontId="10" fillId="21" borderId="8" xfId="0" applyFont="1" applyFill="1" applyBorder="1" applyAlignment="1">
      <alignment vertical="center"/>
    </xf>
    <xf numFmtId="0" fontId="10" fillId="21" borderId="9" xfId="0" applyFont="1" applyFill="1" applyBorder="1" applyAlignment="1">
      <alignment vertical="center"/>
    </xf>
    <xf numFmtId="0" fontId="17" fillId="22" borderId="1" xfId="0" applyFont="1" applyFill="1" applyBorder="1" applyAlignment="1">
      <alignment horizontal="center"/>
    </xf>
    <xf numFmtId="0" fontId="10" fillId="22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2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21" borderId="1" xfId="0" applyFont="1" applyFill="1" applyBorder="1" applyAlignment="1">
      <alignment horizontal="center"/>
    </xf>
    <xf numFmtId="0" fontId="10" fillId="21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1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5" borderId="1" xfId="0" applyFont="1" applyFill="1" applyBorder="1" applyAlignment="1">
      <alignment horizontal="center" vertical="center"/>
    </xf>
    <xf numFmtId="0" fontId="3" fillId="23" borderId="3" xfId="0" applyFont="1" applyFill="1" applyBorder="1"/>
    <xf numFmtId="0" fontId="3" fillId="23" borderId="10" xfId="0" applyFont="1" applyFill="1" applyBorder="1"/>
    <xf numFmtId="0" fontId="7" fillId="23" borderId="10" xfId="0" applyFont="1" applyFill="1" applyBorder="1" applyAlignment="1">
      <alignment horizontal="center" vertical="center"/>
    </xf>
    <xf numFmtId="0" fontId="0" fillId="23" borderId="10" xfId="0" applyFill="1" applyBorder="1"/>
    <xf numFmtId="0" fontId="3" fillId="23" borderId="11" xfId="0" applyFont="1" applyFill="1" applyBorder="1"/>
    <xf numFmtId="0" fontId="3" fillId="23" borderId="5" xfId="0" applyFont="1" applyFill="1" applyBorder="1"/>
    <xf numFmtId="0" fontId="3" fillId="23" borderId="2" xfId="0" applyFont="1" applyFill="1" applyBorder="1"/>
    <xf numFmtId="0" fontId="3" fillId="23" borderId="2" xfId="0" applyFont="1" applyFill="1" applyBorder="1" applyAlignment="1">
      <alignment horizontal="center" vertical="top"/>
    </xf>
    <xf numFmtId="0" fontId="0" fillId="23" borderId="2" xfId="0" applyFill="1" applyBorder="1"/>
    <xf numFmtId="9" fontId="3" fillId="23" borderId="2" xfId="1" applyFont="1" applyFill="1" applyBorder="1" applyAlignment="1">
      <alignment horizontal="center" vertical="center"/>
    </xf>
    <xf numFmtId="0" fontId="3" fillId="23" borderId="12" xfId="0" applyFont="1" applyFill="1" applyBorder="1"/>
    <xf numFmtId="0" fontId="3" fillId="24" borderId="3" xfId="0" applyFont="1" applyFill="1" applyBorder="1"/>
    <xf numFmtId="0" fontId="3" fillId="24" borderId="10" xfId="0" applyFont="1" applyFill="1" applyBorder="1"/>
    <xf numFmtId="0" fontId="7" fillId="24" borderId="10" xfId="0" applyFont="1" applyFill="1" applyBorder="1" applyAlignment="1">
      <alignment horizontal="center" vertical="center"/>
    </xf>
    <xf numFmtId="0" fontId="0" fillId="24" borderId="10" xfId="0" applyFill="1" applyBorder="1"/>
    <xf numFmtId="0" fontId="3" fillId="24" borderId="5" xfId="0" applyFont="1" applyFill="1" applyBorder="1"/>
    <xf numFmtId="0" fontId="3" fillId="24" borderId="2" xfId="0" applyFont="1" applyFill="1" applyBorder="1"/>
    <xf numFmtId="0" fontId="3" fillId="24" borderId="2" xfId="0" applyFont="1" applyFill="1" applyBorder="1" applyAlignment="1">
      <alignment horizontal="center" vertical="top"/>
    </xf>
    <xf numFmtId="0" fontId="0" fillId="24" borderId="2" xfId="0" applyFill="1" applyBorder="1"/>
    <xf numFmtId="9" fontId="3" fillId="24" borderId="2" xfId="1" applyFont="1" applyFill="1" applyBorder="1" applyAlignment="1">
      <alignment horizontal="center" vertical="center"/>
    </xf>
    <xf numFmtId="0" fontId="1" fillId="25" borderId="1" xfId="0" applyFont="1" applyFill="1" applyBorder="1" applyAlignment="1">
      <alignment horizontal="center"/>
    </xf>
    <xf numFmtId="0" fontId="3" fillId="25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5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7" xfId="0" applyFont="1" applyFill="1" applyBorder="1" applyAlignment="1">
      <alignment vertical="center"/>
    </xf>
    <xf numFmtId="0" fontId="10" fillId="26" borderId="8" xfId="0" applyFont="1" applyFill="1" applyBorder="1" applyAlignment="1">
      <alignment vertical="center"/>
    </xf>
    <xf numFmtId="0" fontId="10" fillId="26" borderId="9" xfId="0" applyFont="1" applyFill="1" applyBorder="1" applyAlignment="1">
      <alignment vertical="center"/>
    </xf>
    <xf numFmtId="0" fontId="17" fillId="26" borderId="1" xfId="0" applyFont="1" applyFill="1" applyBorder="1" applyAlignment="1">
      <alignment horizontal="center"/>
    </xf>
    <xf numFmtId="0" fontId="10" fillId="26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6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4" borderId="1" xfId="0" applyFont="1" applyFill="1" applyBorder="1" applyAlignment="1">
      <alignment horizontal="center" vertical="center"/>
    </xf>
    <xf numFmtId="0" fontId="0" fillId="24" borderId="11" xfId="0" applyFill="1" applyBorder="1"/>
    <xf numFmtId="0" fontId="0" fillId="24" borderId="12" xfId="0" applyFill="1" applyBorder="1"/>
    <xf numFmtId="0" fontId="3" fillId="27" borderId="3" xfId="0" applyFont="1" applyFill="1" applyBorder="1"/>
    <xf numFmtId="0" fontId="3" fillId="27" borderId="10" xfId="0" applyFont="1" applyFill="1" applyBorder="1"/>
    <xf numFmtId="0" fontId="7" fillId="27" borderId="10" xfId="0" applyFont="1" applyFill="1" applyBorder="1" applyAlignment="1">
      <alignment horizontal="center" vertical="center"/>
    </xf>
    <xf numFmtId="0" fontId="0" fillId="27" borderId="10" xfId="0" applyFill="1" applyBorder="1"/>
    <xf numFmtId="0" fontId="3" fillId="27" borderId="5" xfId="0" applyFont="1" applyFill="1" applyBorder="1"/>
    <xf numFmtId="0" fontId="3" fillId="27" borderId="2" xfId="0" applyFont="1" applyFill="1" applyBorder="1"/>
    <xf numFmtId="0" fontId="3" fillId="27" borderId="2" xfId="0" applyFont="1" applyFill="1" applyBorder="1" applyAlignment="1">
      <alignment horizontal="center" vertical="top"/>
    </xf>
    <xf numFmtId="0" fontId="0" fillId="27" borderId="2" xfId="0" applyFill="1" applyBorder="1"/>
    <xf numFmtId="9" fontId="3" fillId="27" borderId="2" xfId="1" applyFont="1" applyFill="1" applyBorder="1" applyAlignment="1">
      <alignment horizontal="center" vertical="center"/>
    </xf>
    <xf numFmtId="0" fontId="3" fillId="27" borderId="7" xfId="0" applyFont="1" applyFill="1" applyBorder="1" applyAlignment="1">
      <alignment vertical="center"/>
    </xf>
    <xf numFmtId="0" fontId="3" fillId="27" borderId="8" xfId="0" applyFont="1" applyFill="1" applyBorder="1" applyAlignment="1">
      <alignment vertical="center"/>
    </xf>
    <xf numFmtId="0" fontId="3" fillId="27" borderId="9" xfId="0" applyFont="1" applyFill="1" applyBorder="1" applyAlignment="1">
      <alignment vertical="center"/>
    </xf>
    <xf numFmtId="0" fontId="1" fillId="27" borderId="1" xfId="0" applyFont="1" applyFill="1" applyBorder="1" applyAlignment="1">
      <alignment horizontal="center"/>
    </xf>
    <xf numFmtId="0" fontId="3" fillId="27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27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28" borderId="1" xfId="0" applyFont="1" applyFill="1" applyBorder="1" applyAlignment="1">
      <alignment horizontal="center"/>
    </xf>
    <xf numFmtId="0" fontId="10" fillId="28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28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28" borderId="1" xfId="0" applyFont="1" applyFill="1" applyBorder="1" applyAlignment="1">
      <alignment horizontal="center" vertical="center"/>
    </xf>
    <xf numFmtId="0" fontId="3" fillId="30" borderId="3" xfId="0" applyFont="1" applyFill="1" applyBorder="1"/>
    <xf numFmtId="0" fontId="3" fillId="30" borderId="10" xfId="0" applyFont="1" applyFill="1" applyBorder="1"/>
    <xf numFmtId="0" fontId="7" fillId="30" borderId="10" xfId="0" applyFont="1" applyFill="1" applyBorder="1" applyAlignment="1">
      <alignment horizontal="center" vertical="center"/>
    </xf>
    <xf numFmtId="0" fontId="0" fillId="30" borderId="10" xfId="0" applyFill="1" applyBorder="1"/>
    <xf numFmtId="0" fontId="0" fillId="30" borderId="11" xfId="0" applyFill="1" applyBorder="1"/>
    <xf numFmtId="0" fontId="3" fillId="30" borderId="5" xfId="0" applyFont="1" applyFill="1" applyBorder="1"/>
    <xf numFmtId="0" fontId="3" fillId="30" borderId="2" xfId="0" applyFont="1" applyFill="1" applyBorder="1"/>
    <xf numFmtId="0" fontId="3" fillId="30" borderId="2" xfId="0" applyFont="1" applyFill="1" applyBorder="1" applyAlignment="1">
      <alignment horizontal="center" vertical="top"/>
    </xf>
    <xf numFmtId="0" fontId="0" fillId="30" borderId="2" xfId="0" applyFill="1" applyBorder="1"/>
    <xf numFmtId="9" fontId="3" fillId="30" borderId="2" xfId="1" applyFont="1" applyFill="1" applyBorder="1" applyAlignment="1">
      <alignment horizontal="center" vertical="center"/>
    </xf>
    <xf numFmtId="0" fontId="0" fillId="30" borderId="12" xfId="0" applyFill="1" applyBorder="1"/>
    <xf numFmtId="0" fontId="1" fillId="30" borderId="1" xfId="0" applyFont="1" applyFill="1" applyBorder="1" applyAlignment="1">
      <alignment horizontal="center"/>
    </xf>
    <xf numFmtId="0" fontId="3" fillId="30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0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7" xfId="0" applyFont="1" applyFill="1" applyBorder="1" applyAlignment="1">
      <alignment vertical="center"/>
    </xf>
    <xf numFmtId="0" fontId="10" fillId="31" borderId="8" xfId="0" applyFont="1" applyFill="1" applyBorder="1" applyAlignment="1">
      <alignment vertical="center"/>
    </xf>
    <xf numFmtId="0" fontId="10" fillId="31" borderId="9" xfId="0" applyFont="1" applyFill="1" applyBorder="1" applyAlignment="1">
      <alignment vertical="center"/>
    </xf>
    <xf numFmtId="0" fontId="17" fillId="31" borderId="1" xfId="0" applyFont="1" applyFill="1" applyBorder="1" applyAlignment="1">
      <alignment horizontal="center"/>
    </xf>
    <xf numFmtId="0" fontId="10" fillId="31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1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9" borderId="1" xfId="0" applyFont="1" applyFill="1" applyBorder="1" applyAlignment="1">
      <alignment horizontal="center" vertical="center"/>
    </xf>
    <xf numFmtId="0" fontId="3" fillId="32" borderId="3" xfId="0" applyFont="1" applyFill="1" applyBorder="1"/>
    <xf numFmtId="0" fontId="3" fillId="32" borderId="10" xfId="0" applyFont="1" applyFill="1" applyBorder="1"/>
    <xf numFmtId="0" fontId="7" fillId="32" borderId="10" xfId="0" applyFont="1" applyFill="1" applyBorder="1" applyAlignment="1">
      <alignment horizontal="center" vertical="center"/>
    </xf>
    <xf numFmtId="0" fontId="0" fillId="32" borderId="10" xfId="0" applyFill="1" applyBorder="1"/>
    <xf numFmtId="0" fontId="3" fillId="32" borderId="5" xfId="0" applyFont="1" applyFill="1" applyBorder="1"/>
    <xf numFmtId="0" fontId="3" fillId="32" borderId="2" xfId="0" applyFont="1" applyFill="1" applyBorder="1"/>
    <xf numFmtId="0" fontId="3" fillId="32" borderId="2" xfId="0" applyFont="1" applyFill="1" applyBorder="1" applyAlignment="1">
      <alignment horizontal="center" vertical="top"/>
    </xf>
    <xf numFmtId="0" fontId="0" fillId="32" borderId="2" xfId="0" applyFill="1" applyBorder="1"/>
    <xf numFmtId="9" fontId="3" fillId="32" borderId="2" xfId="1" applyFont="1" applyFill="1" applyBorder="1" applyAlignment="1">
      <alignment horizontal="center" vertical="center"/>
    </xf>
    <xf numFmtId="0" fontId="3" fillId="32" borderId="7" xfId="0" applyFont="1" applyFill="1" applyBorder="1" applyAlignment="1">
      <alignment vertical="center"/>
    </xf>
    <xf numFmtId="0" fontId="3" fillId="32" borderId="8" xfId="0" applyFont="1" applyFill="1" applyBorder="1" applyAlignment="1">
      <alignment vertical="center"/>
    </xf>
    <xf numFmtId="0" fontId="3" fillId="32" borderId="9" xfId="0" applyFont="1" applyFill="1" applyBorder="1" applyAlignment="1">
      <alignment vertical="center"/>
    </xf>
    <xf numFmtId="0" fontId="1" fillId="32" borderId="1" xfId="0" applyFont="1" applyFill="1" applyBorder="1" applyAlignment="1">
      <alignment horizontal="center"/>
    </xf>
    <xf numFmtId="0" fontId="3" fillId="32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2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13" borderId="1" xfId="0" applyFont="1" applyFill="1" applyBorder="1" applyAlignment="1">
      <alignment horizontal="center" vertical="center"/>
    </xf>
    <xf numFmtId="0" fontId="3" fillId="33" borderId="3" xfId="0" applyFont="1" applyFill="1" applyBorder="1"/>
    <xf numFmtId="0" fontId="3" fillId="33" borderId="10" xfId="0" applyFont="1" applyFill="1" applyBorder="1"/>
    <xf numFmtId="0" fontId="7" fillId="33" borderId="10" xfId="0" applyFont="1" applyFill="1" applyBorder="1" applyAlignment="1">
      <alignment horizontal="center" vertical="center"/>
    </xf>
    <xf numFmtId="0" fontId="0" fillId="33" borderId="10" xfId="0" applyFill="1" applyBorder="1"/>
    <xf numFmtId="0" fontId="0" fillId="33" borderId="11" xfId="0" applyFill="1" applyBorder="1"/>
    <xf numFmtId="0" fontId="3" fillId="33" borderId="5" xfId="0" applyFont="1" applyFill="1" applyBorder="1"/>
    <xf numFmtId="0" fontId="3" fillId="33" borderId="2" xfId="0" applyFont="1" applyFill="1" applyBorder="1"/>
    <xf numFmtId="0" fontId="3" fillId="33" borderId="2" xfId="0" applyFont="1" applyFill="1" applyBorder="1" applyAlignment="1">
      <alignment horizontal="center" vertical="top"/>
    </xf>
    <xf numFmtId="0" fontId="0" fillId="33" borderId="2" xfId="0" applyFill="1" applyBorder="1"/>
    <xf numFmtId="9" fontId="3" fillId="33" borderId="2" xfId="1" applyFont="1" applyFill="1" applyBorder="1" applyAlignment="1">
      <alignment horizontal="center" vertical="center"/>
    </xf>
    <xf numFmtId="0" fontId="0" fillId="33" borderId="12" xfId="0" applyFill="1" applyBorder="1"/>
    <xf numFmtId="0" fontId="1" fillId="33" borderId="1" xfId="0" applyFont="1" applyFill="1" applyBorder="1" applyAlignment="1">
      <alignment horizontal="center"/>
    </xf>
    <xf numFmtId="0" fontId="3" fillId="33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33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7" xfId="0" applyFont="1" applyFill="1" applyBorder="1" applyAlignment="1">
      <alignment vertical="center"/>
    </xf>
    <xf numFmtId="0" fontId="10" fillId="34" borderId="8" xfId="0" applyFont="1" applyFill="1" applyBorder="1" applyAlignment="1">
      <alignment vertical="center"/>
    </xf>
    <xf numFmtId="0" fontId="10" fillId="34" borderId="9" xfId="0" applyFont="1" applyFill="1" applyBorder="1" applyAlignment="1">
      <alignment vertical="center"/>
    </xf>
    <xf numFmtId="0" fontId="17" fillId="34" borderId="1" xfId="0" applyFont="1" applyFill="1" applyBorder="1" applyAlignment="1">
      <alignment horizontal="center"/>
    </xf>
    <xf numFmtId="0" fontId="10" fillId="34" borderId="3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10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11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4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0" xfId="0" applyFont="1" applyFill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6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5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34" borderId="12" xfId="0" applyFont="1" applyFill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34" borderId="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12" xfId="0" applyFont="1" applyFill="1" applyBorder="1" applyAlignment="1">
      <alignment horizontal="center" vertical="center"/>
    </xf>
    <xf numFmtId="0" fontId="6" fillId="9" borderId="10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15" fillId="10" borderId="7" xfId="0" applyFont="1" applyFill="1" applyBorder="1" applyAlignment="1">
      <alignment horizontal="center" vertical="center"/>
    </xf>
    <xf numFmtId="0" fontId="15" fillId="10" borderId="8" xfId="0" applyFont="1" applyFill="1" applyBorder="1" applyAlignment="1">
      <alignment horizontal="center" vertical="center"/>
    </xf>
    <xf numFmtId="0" fontId="15" fillId="10" borderId="9" xfId="0" applyFont="1" applyFill="1" applyBorder="1" applyAlignment="1">
      <alignment horizontal="center" vertical="center"/>
    </xf>
    <xf numFmtId="0" fontId="1" fillId="9" borderId="13" xfId="0" applyFont="1" applyFill="1" applyBorder="1" applyAlignment="1">
      <alignment horizontal="center"/>
    </xf>
    <xf numFmtId="0" fontId="1" fillId="9" borderId="15" xfId="0" applyFont="1" applyFill="1" applyBorder="1" applyAlignment="1">
      <alignment horizontal="center"/>
    </xf>
    <xf numFmtId="0" fontId="1" fillId="9" borderId="14" xfId="0" applyFont="1" applyFill="1" applyBorder="1" applyAlignment="1">
      <alignment horizontal="center"/>
    </xf>
    <xf numFmtId="0" fontId="2" fillId="10" borderId="13" xfId="0" applyFont="1" applyFill="1" applyBorder="1" applyAlignment="1">
      <alignment horizontal="center"/>
    </xf>
    <xf numFmtId="0" fontId="2" fillId="10" borderId="15" xfId="0" applyFont="1" applyFill="1" applyBorder="1" applyAlignment="1">
      <alignment horizontal="center"/>
    </xf>
    <xf numFmtId="0" fontId="2" fillId="10" borderId="14" xfId="0" applyFont="1" applyFill="1" applyBorder="1" applyAlignment="1">
      <alignment horizontal="center"/>
    </xf>
    <xf numFmtId="0" fontId="6" fillId="7" borderId="10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15" fillId="8" borderId="7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5" fillId="8" borderId="9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4" xfId="0" applyFont="1" applyFill="1" applyBorder="1" applyAlignment="1">
      <alignment horizontal="center"/>
    </xf>
    <xf numFmtId="0" fontId="2" fillId="8" borderId="13" xfId="0" applyFont="1" applyFill="1" applyBorder="1" applyAlignment="1">
      <alignment horizontal="center"/>
    </xf>
    <xf numFmtId="0" fontId="2" fillId="8" borderId="15" xfId="0" applyFont="1" applyFill="1" applyBorder="1" applyAlignment="1">
      <alignment horizontal="center"/>
    </xf>
    <xf numFmtId="0" fontId="2" fillId="8" borderId="14" xfId="0" applyFont="1" applyFill="1" applyBorder="1" applyAlignment="1">
      <alignment horizontal="center"/>
    </xf>
    <xf numFmtId="0" fontId="6" fillId="12" borderId="10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18" fillId="13" borderId="7" xfId="0" applyFont="1" applyFill="1" applyBorder="1" applyAlignment="1">
      <alignment horizontal="center" vertical="center"/>
    </xf>
    <xf numFmtId="0" fontId="18" fillId="13" borderId="8" xfId="0" applyFont="1" applyFill="1" applyBorder="1" applyAlignment="1">
      <alignment horizontal="center" vertical="center"/>
    </xf>
    <xf numFmtId="0" fontId="18" fillId="13" borderId="9" xfId="0" applyFont="1" applyFill="1" applyBorder="1" applyAlignment="1">
      <alignment horizontal="center" vertical="center"/>
    </xf>
    <xf numFmtId="0" fontId="17" fillId="14" borderId="13" xfId="0" applyFont="1" applyFill="1" applyBorder="1" applyAlignment="1">
      <alignment horizontal="center"/>
    </xf>
    <xf numFmtId="0" fontId="17" fillId="14" borderId="15" xfId="0" applyFont="1" applyFill="1" applyBorder="1" applyAlignment="1">
      <alignment horizontal="center"/>
    </xf>
    <xf numFmtId="0" fontId="17" fillId="14" borderId="14" xfId="0" applyFont="1" applyFill="1" applyBorder="1" applyAlignment="1">
      <alignment horizontal="center"/>
    </xf>
    <xf numFmtId="0" fontId="17" fillId="13" borderId="13" xfId="0" applyFont="1" applyFill="1" applyBorder="1" applyAlignment="1">
      <alignment horizontal="center"/>
    </xf>
    <xf numFmtId="0" fontId="17" fillId="13" borderId="15" xfId="0" applyFont="1" applyFill="1" applyBorder="1" applyAlignment="1">
      <alignment horizontal="center"/>
    </xf>
    <xf numFmtId="0" fontId="17" fillId="13" borderId="14" xfId="0" applyFont="1" applyFill="1" applyBorder="1" applyAlignment="1">
      <alignment horizontal="center"/>
    </xf>
    <xf numFmtId="0" fontId="9" fillId="9" borderId="3" xfId="0" applyFont="1" applyFill="1" applyBorder="1" applyAlignment="1">
      <alignment horizontal="center" vertical="center"/>
    </xf>
    <xf numFmtId="0" fontId="9" fillId="9" borderId="10" xfId="0" applyFont="1" applyFill="1" applyBorder="1" applyAlignment="1">
      <alignment horizontal="center" vertical="center"/>
    </xf>
    <xf numFmtId="0" fontId="9" fillId="9" borderId="11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9" fillId="9" borderId="2" xfId="0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/>
    </xf>
    <xf numFmtId="0" fontId="9" fillId="12" borderId="10" xfId="0" applyFont="1" applyFill="1" applyBorder="1" applyAlignment="1">
      <alignment horizontal="center" vertical="center"/>
    </xf>
    <xf numFmtId="0" fontId="9" fillId="12" borderId="11" xfId="0" applyFont="1" applyFill="1" applyBorder="1" applyAlignment="1">
      <alignment horizontal="center" vertical="center"/>
    </xf>
    <xf numFmtId="0" fontId="9" fillId="12" borderId="5" xfId="0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12" borderId="12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" fillId="33" borderId="13" xfId="0" applyFont="1" applyFill="1" applyBorder="1" applyAlignment="1">
      <alignment horizontal="center"/>
    </xf>
    <xf numFmtId="0" fontId="1" fillId="33" borderId="15" xfId="0" applyFont="1" applyFill="1" applyBorder="1" applyAlignment="1">
      <alignment horizontal="center"/>
    </xf>
    <xf numFmtId="0" fontId="1" fillId="33" borderId="14" xfId="0" applyFont="1" applyFill="1" applyBorder="1" applyAlignment="1">
      <alignment horizontal="center"/>
    </xf>
    <xf numFmtId="0" fontId="9" fillId="33" borderId="3" xfId="0" applyFont="1" applyFill="1" applyBorder="1" applyAlignment="1">
      <alignment horizontal="center" vertical="center"/>
    </xf>
    <xf numFmtId="0" fontId="9" fillId="33" borderId="10" xfId="0" applyFont="1" applyFill="1" applyBorder="1" applyAlignment="1">
      <alignment horizontal="center" vertical="center"/>
    </xf>
    <xf numFmtId="0" fontId="9" fillId="33" borderId="11" xfId="0" applyFont="1" applyFill="1" applyBorder="1" applyAlignment="1">
      <alignment horizontal="center" vertical="center"/>
    </xf>
    <xf numFmtId="0" fontId="9" fillId="33" borderId="5" xfId="0" applyFont="1" applyFill="1" applyBorder="1" applyAlignment="1">
      <alignment horizontal="center" vertical="center"/>
    </xf>
    <xf numFmtId="0" fontId="9" fillId="33" borderId="2" xfId="0" applyFont="1" applyFill="1" applyBorder="1" applyAlignment="1">
      <alignment horizontal="center" vertical="center"/>
    </xf>
    <xf numFmtId="0" fontId="9" fillId="33" borderId="12" xfId="0" applyFont="1" applyFill="1" applyBorder="1" applyAlignment="1">
      <alignment horizontal="center" vertical="center"/>
    </xf>
    <xf numFmtId="0" fontId="6" fillId="33" borderId="10" xfId="0" applyFont="1" applyFill="1" applyBorder="1" applyAlignment="1">
      <alignment horizontal="center" vertical="center"/>
    </xf>
    <xf numFmtId="0" fontId="6" fillId="33" borderId="2" xfId="0" applyFont="1" applyFill="1" applyBorder="1" applyAlignment="1">
      <alignment horizontal="center" vertical="center"/>
    </xf>
    <xf numFmtId="0" fontId="3" fillId="33" borderId="2" xfId="0" applyFont="1" applyFill="1" applyBorder="1" applyAlignment="1">
      <alignment horizontal="center" vertical="center"/>
    </xf>
    <xf numFmtId="0" fontId="18" fillId="34" borderId="7" xfId="0" applyFont="1" applyFill="1" applyBorder="1" applyAlignment="1">
      <alignment horizontal="center" vertical="center"/>
    </xf>
    <xf numFmtId="0" fontId="18" fillId="34" borderId="8" xfId="0" applyFont="1" applyFill="1" applyBorder="1" applyAlignment="1">
      <alignment horizontal="center" vertical="center"/>
    </xf>
    <xf numFmtId="0" fontId="18" fillId="34" borderId="9" xfId="0" applyFont="1" applyFill="1" applyBorder="1" applyAlignment="1">
      <alignment horizontal="center" vertical="center"/>
    </xf>
    <xf numFmtId="0" fontId="17" fillId="34" borderId="13" xfId="0" applyFont="1" applyFill="1" applyBorder="1" applyAlignment="1">
      <alignment horizontal="center"/>
    </xf>
    <xf numFmtId="0" fontId="17" fillId="34" borderId="15" xfId="0" applyFont="1" applyFill="1" applyBorder="1" applyAlignment="1">
      <alignment horizontal="center"/>
    </xf>
    <xf numFmtId="0" fontId="17" fillId="34" borderId="14" xfId="0" applyFont="1" applyFill="1" applyBorder="1" applyAlignment="1">
      <alignment horizontal="center"/>
    </xf>
    <xf numFmtId="0" fontId="9" fillId="30" borderId="3" xfId="0" applyFont="1" applyFill="1" applyBorder="1" applyAlignment="1">
      <alignment horizontal="center" vertical="center"/>
    </xf>
    <xf numFmtId="0" fontId="9" fillId="30" borderId="10" xfId="0" applyFont="1" applyFill="1" applyBorder="1" applyAlignment="1">
      <alignment horizontal="center" vertical="center"/>
    </xf>
    <xf numFmtId="0" fontId="9" fillId="30" borderId="11" xfId="0" applyFont="1" applyFill="1" applyBorder="1" applyAlignment="1">
      <alignment horizontal="center" vertical="center"/>
    </xf>
    <xf numFmtId="0" fontId="9" fillId="30" borderId="5" xfId="0" applyFont="1" applyFill="1" applyBorder="1" applyAlignment="1">
      <alignment horizontal="center" vertical="center"/>
    </xf>
    <xf numFmtId="0" fontId="9" fillId="30" borderId="2" xfId="0" applyFont="1" applyFill="1" applyBorder="1" applyAlignment="1">
      <alignment horizontal="center" vertical="center"/>
    </xf>
    <xf numFmtId="0" fontId="9" fillId="30" borderId="12" xfId="0" applyFont="1" applyFill="1" applyBorder="1" applyAlignment="1">
      <alignment horizontal="center" vertical="center"/>
    </xf>
    <xf numFmtId="0" fontId="6" fillId="32" borderId="10" xfId="0" applyFont="1" applyFill="1" applyBorder="1" applyAlignment="1">
      <alignment horizontal="center" vertical="center"/>
    </xf>
    <xf numFmtId="0" fontId="6" fillId="32" borderId="2" xfId="0" applyFont="1" applyFill="1" applyBorder="1" applyAlignment="1">
      <alignment horizontal="center" vertical="center"/>
    </xf>
    <xf numFmtId="0" fontId="3" fillId="32" borderId="2" xfId="0" applyFont="1" applyFill="1" applyBorder="1" applyAlignment="1">
      <alignment horizontal="center" vertical="center"/>
    </xf>
    <xf numFmtId="0" fontId="19" fillId="32" borderId="7" xfId="0" applyFont="1" applyFill="1" applyBorder="1" applyAlignment="1">
      <alignment horizontal="center" vertical="center"/>
    </xf>
    <xf numFmtId="0" fontId="19" fillId="32" borderId="8" xfId="0" applyFont="1" applyFill="1" applyBorder="1" applyAlignment="1">
      <alignment horizontal="center" vertical="center"/>
    </xf>
    <xf numFmtId="0" fontId="19" fillId="32" borderId="9" xfId="0" applyFont="1" applyFill="1" applyBorder="1" applyAlignment="1">
      <alignment horizontal="center" vertical="center"/>
    </xf>
    <xf numFmtId="0" fontId="1" fillId="32" borderId="13" xfId="0" applyFont="1" applyFill="1" applyBorder="1" applyAlignment="1">
      <alignment horizontal="center"/>
    </xf>
    <xf numFmtId="0" fontId="1" fillId="32" borderId="15" xfId="0" applyFont="1" applyFill="1" applyBorder="1" applyAlignment="1">
      <alignment horizontal="center"/>
    </xf>
    <xf numFmtId="0" fontId="1" fillId="32" borderId="14" xfId="0" applyFont="1" applyFill="1" applyBorder="1" applyAlignment="1">
      <alignment horizontal="center"/>
    </xf>
    <xf numFmtId="0" fontId="9" fillId="32" borderId="3" xfId="0" applyFont="1" applyFill="1" applyBorder="1" applyAlignment="1">
      <alignment horizontal="center" vertical="center"/>
    </xf>
    <xf numFmtId="0" fontId="9" fillId="32" borderId="10" xfId="0" applyFont="1" applyFill="1" applyBorder="1" applyAlignment="1">
      <alignment horizontal="center" vertical="center"/>
    </xf>
    <xf numFmtId="0" fontId="9" fillId="32" borderId="11" xfId="0" applyFont="1" applyFill="1" applyBorder="1" applyAlignment="1">
      <alignment horizontal="center" vertical="center"/>
    </xf>
    <xf numFmtId="0" fontId="9" fillId="32" borderId="5" xfId="0" applyFont="1" applyFill="1" applyBorder="1" applyAlignment="1">
      <alignment horizontal="center" vertical="center"/>
    </xf>
    <xf numFmtId="0" fontId="9" fillId="32" borderId="2" xfId="0" applyFont="1" applyFill="1" applyBorder="1" applyAlignment="1">
      <alignment horizontal="center" vertical="center"/>
    </xf>
    <xf numFmtId="0" fontId="9" fillId="32" borderId="12" xfId="0" applyFont="1" applyFill="1" applyBorder="1" applyAlignment="1">
      <alignment horizontal="center" vertical="center"/>
    </xf>
    <xf numFmtId="0" fontId="17" fillId="28" borderId="13" xfId="0" applyFont="1" applyFill="1" applyBorder="1" applyAlignment="1">
      <alignment horizontal="center"/>
    </xf>
    <xf numFmtId="0" fontId="17" fillId="28" borderId="14" xfId="0" applyFont="1" applyFill="1" applyBorder="1" applyAlignment="1">
      <alignment horizontal="center"/>
    </xf>
    <xf numFmtId="0" fontId="9" fillId="27" borderId="3" xfId="0" applyFont="1" applyFill="1" applyBorder="1" applyAlignment="1">
      <alignment horizontal="center" vertical="center"/>
    </xf>
    <xf numFmtId="0" fontId="9" fillId="27" borderId="10" xfId="0" applyFont="1" applyFill="1" applyBorder="1" applyAlignment="1">
      <alignment horizontal="center" vertical="center"/>
    </xf>
    <xf numFmtId="0" fontId="9" fillId="27" borderId="11" xfId="0" applyFont="1" applyFill="1" applyBorder="1" applyAlignment="1">
      <alignment horizontal="center" vertical="center"/>
    </xf>
    <xf numFmtId="0" fontId="9" fillId="27" borderId="5" xfId="0" applyFont="1" applyFill="1" applyBorder="1" applyAlignment="1">
      <alignment horizontal="center" vertical="center"/>
    </xf>
    <xf numFmtId="0" fontId="9" fillId="27" borderId="2" xfId="0" applyFont="1" applyFill="1" applyBorder="1" applyAlignment="1">
      <alignment horizontal="center" vertical="center"/>
    </xf>
    <xf numFmtId="0" fontId="9" fillId="27" borderId="12" xfId="0" applyFont="1" applyFill="1" applyBorder="1" applyAlignment="1">
      <alignment horizontal="center" vertical="center"/>
    </xf>
    <xf numFmtId="0" fontId="6" fillId="30" borderId="10" xfId="0" applyFont="1" applyFill="1" applyBorder="1" applyAlignment="1">
      <alignment horizontal="center" vertical="center"/>
    </xf>
    <xf numFmtId="0" fontId="6" fillId="30" borderId="2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horizontal="center" vertical="center"/>
    </xf>
    <xf numFmtId="0" fontId="18" fillId="31" borderId="7" xfId="0" applyFont="1" applyFill="1" applyBorder="1" applyAlignment="1">
      <alignment horizontal="center" vertical="center"/>
    </xf>
    <xf numFmtId="0" fontId="18" fillId="31" borderId="8" xfId="0" applyFont="1" applyFill="1" applyBorder="1" applyAlignment="1">
      <alignment horizontal="center" vertical="center"/>
    </xf>
    <xf numFmtId="0" fontId="18" fillId="31" borderId="9" xfId="0" applyFont="1" applyFill="1" applyBorder="1" applyAlignment="1">
      <alignment horizontal="center" vertical="center"/>
    </xf>
    <xf numFmtId="0" fontId="1" fillId="30" borderId="13" xfId="0" applyFont="1" applyFill="1" applyBorder="1" applyAlignment="1">
      <alignment horizontal="center"/>
    </xf>
    <xf numFmtId="0" fontId="1" fillId="30" borderId="15" xfId="0" applyFont="1" applyFill="1" applyBorder="1" applyAlignment="1">
      <alignment horizontal="center"/>
    </xf>
    <xf numFmtId="0" fontId="1" fillId="30" borderId="14" xfId="0" applyFont="1" applyFill="1" applyBorder="1" applyAlignment="1">
      <alignment horizontal="center"/>
    </xf>
    <xf numFmtId="0" fontId="17" fillId="31" borderId="13" xfId="0" applyFont="1" applyFill="1" applyBorder="1" applyAlignment="1">
      <alignment horizontal="center"/>
    </xf>
    <xf numFmtId="0" fontId="17" fillId="31" borderId="15" xfId="0" applyFont="1" applyFill="1" applyBorder="1" applyAlignment="1">
      <alignment horizontal="center"/>
    </xf>
    <xf numFmtId="0" fontId="17" fillId="31" borderId="14" xfId="0" applyFont="1" applyFill="1" applyBorder="1" applyAlignment="1">
      <alignment horizontal="center"/>
    </xf>
    <xf numFmtId="0" fontId="6" fillId="27" borderId="10" xfId="0" applyFont="1" applyFill="1" applyBorder="1" applyAlignment="1">
      <alignment horizontal="center" vertical="center"/>
    </xf>
    <xf numFmtId="0" fontId="6" fillId="27" borderId="2" xfId="0" applyFont="1" applyFill="1" applyBorder="1" applyAlignment="1">
      <alignment horizontal="center" vertical="center"/>
    </xf>
    <xf numFmtId="0" fontId="3" fillId="27" borderId="2" xfId="0" applyFont="1" applyFill="1" applyBorder="1" applyAlignment="1">
      <alignment horizontal="center" vertical="center"/>
    </xf>
    <xf numFmtId="0" fontId="19" fillId="27" borderId="7" xfId="0" applyFont="1" applyFill="1" applyBorder="1" applyAlignment="1">
      <alignment horizontal="center" vertical="center"/>
    </xf>
    <xf numFmtId="0" fontId="19" fillId="27" borderId="8" xfId="0" applyFont="1" applyFill="1" applyBorder="1" applyAlignment="1">
      <alignment horizontal="center" vertical="center"/>
    </xf>
    <xf numFmtId="0" fontId="19" fillId="27" borderId="9" xfId="0" applyFont="1" applyFill="1" applyBorder="1" applyAlignment="1">
      <alignment horizontal="center" vertical="center"/>
    </xf>
    <xf numFmtId="0" fontId="17" fillId="28" borderId="15" xfId="0" applyFont="1" applyFill="1" applyBorder="1" applyAlignment="1">
      <alignment horizontal="center"/>
    </xf>
    <xf numFmtId="0" fontId="1" fillId="27" borderId="13" xfId="0" applyFont="1" applyFill="1" applyBorder="1" applyAlignment="1">
      <alignment horizontal="center"/>
    </xf>
    <xf numFmtId="0" fontId="1" fillId="27" borderId="15" xfId="0" applyFont="1" applyFill="1" applyBorder="1" applyAlignment="1">
      <alignment horizontal="center"/>
    </xf>
    <xf numFmtId="0" fontId="1" fillId="27" borderId="14" xfId="0" applyFont="1" applyFill="1" applyBorder="1" applyAlignment="1">
      <alignment horizontal="center"/>
    </xf>
    <xf numFmtId="0" fontId="9" fillId="23" borderId="3" xfId="0" applyFont="1" applyFill="1" applyBorder="1" applyAlignment="1">
      <alignment horizontal="center" vertical="center"/>
    </xf>
    <xf numFmtId="0" fontId="9" fillId="23" borderId="10" xfId="0" applyFont="1" applyFill="1" applyBorder="1" applyAlignment="1">
      <alignment horizontal="center" vertical="center"/>
    </xf>
    <xf numFmtId="0" fontId="9" fillId="23" borderId="11" xfId="0" applyFont="1" applyFill="1" applyBorder="1" applyAlignment="1">
      <alignment horizontal="center" vertical="center"/>
    </xf>
    <xf numFmtId="0" fontId="9" fillId="23" borderId="5" xfId="0" applyFont="1" applyFill="1" applyBorder="1" applyAlignment="1">
      <alignment horizontal="center" vertical="center"/>
    </xf>
    <xf numFmtId="0" fontId="9" fillId="23" borderId="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center" vertical="center"/>
    </xf>
    <xf numFmtId="0" fontId="6" fillId="24" borderId="10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3" fillId="24" borderId="2" xfId="0" applyFont="1" applyFill="1" applyBorder="1" applyAlignment="1">
      <alignment horizontal="center" vertical="center"/>
    </xf>
    <xf numFmtId="0" fontId="18" fillId="26" borderId="7" xfId="0" applyFont="1" applyFill="1" applyBorder="1" applyAlignment="1">
      <alignment horizontal="center" vertical="center"/>
    </xf>
    <xf numFmtId="0" fontId="18" fillId="26" borderId="8" xfId="0" applyFont="1" applyFill="1" applyBorder="1" applyAlignment="1">
      <alignment horizontal="center" vertical="center"/>
    </xf>
    <xf numFmtId="0" fontId="18" fillId="26" borderId="9" xfId="0" applyFont="1" applyFill="1" applyBorder="1" applyAlignment="1">
      <alignment horizontal="center" vertical="center"/>
    </xf>
    <xf numFmtId="0" fontId="1" fillId="25" borderId="13" xfId="0" applyFont="1" applyFill="1" applyBorder="1" applyAlignment="1">
      <alignment horizontal="center"/>
    </xf>
    <xf numFmtId="0" fontId="1" fillId="25" borderId="15" xfId="0" applyFont="1" applyFill="1" applyBorder="1" applyAlignment="1">
      <alignment horizontal="center"/>
    </xf>
    <xf numFmtId="0" fontId="1" fillId="25" borderId="14" xfId="0" applyFont="1" applyFill="1" applyBorder="1" applyAlignment="1">
      <alignment horizontal="center"/>
    </xf>
    <xf numFmtId="0" fontId="17" fillId="26" borderId="13" xfId="0" applyFont="1" applyFill="1" applyBorder="1" applyAlignment="1">
      <alignment horizontal="center"/>
    </xf>
    <xf numFmtId="0" fontId="17" fillId="26" borderId="15" xfId="0" applyFont="1" applyFill="1" applyBorder="1" applyAlignment="1">
      <alignment horizontal="center"/>
    </xf>
    <xf numFmtId="0" fontId="17" fillId="26" borderId="14" xfId="0" applyFont="1" applyFill="1" applyBorder="1" applyAlignment="1">
      <alignment horizontal="center"/>
    </xf>
    <xf numFmtId="0" fontId="1" fillId="25" borderId="5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9" fillId="25" borderId="3" xfId="0" applyFont="1" applyFill="1" applyBorder="1" applyAlignment="1">
      <alignment horizontal="center" vertical="center"/>
    </xf>
    <xf numFmtId="0" fontId="9" fillId="25" borderId="10" xfId="0" applyFont="1" applyFill="1" applyBorder="1" applyAlignment="1">
      <alignment horizontal="center" vertical="center"/>
    </xf>
    <xf numFmtId="0" fontId="9" fillId="25" borderId="11" xfId="0" applyFont="1" applyFill="1" applyBorder="1" applyAlignment="1">
      <alignment horizontal="center" vertical="center"/>
    </xf>
    <xf numFmtId="0" fontId="9" fillId="25" borderId="5" xfId="0" applyFont="1" applyFill="1" applyBorder="1" applyAlignment="1">
      <alignment horizontal="center" vertical="center"/>
    </xf>
    <xf numFmtId="0" fontId="9" fillId="25" borderId="2" xfId="0" applyFont="1" applyFill="1" applyBorder="1" applyAlignment="1">
      <alignment horizontal="center" vertical="center"/>
    </xf>
    <xf numFmtId="0" fontId="9" fillId="25" borderId="12" xfId="0" applyFont="1" applyFill="1" applyBorder="1" applyAlignment="1">
      <alignment horizontal="center" vertical="center"/>
    </xf>
    <xf numFmtId="0" fontId="1" fillId="20" borderId="13" xfId="0" applyFont="1" applyFill="1" applyBorder="1" applyAlignment="1">
      <alignment horizontal="center"/>
    </xf>
    <xf numFmtId="0" fontId="1" fillId="20" borderId="14" xfId="0" applyFont="1" applyFill="1" applyBorder="1" applyAlignment="1">
      <alignment horizontal="center"/>
    </xf>
    <xf numFmtId="0" fontId="9" fillId="18" borderId="3" xfId="0" applyFont="1" applyFill="1" applyBorder="1" applyAlignment="1">
      <alignment horizontal="center" vertical="center"/>
    </xf>
    <xf numFmtId="0" fontId="9" fillId="18" borderId="10" xfId="0" applyFont="1" applyFill="1" applyBorder="1" applyAlignment="1">
      <alignment horizontal="center" vertical="center"/>
    </xf>
    <xf numFmtId="0" fontId="9" fillId="18" borderId="11" xfId="0" applyFont="1" applyFill="1" applyBorder="1" applyAlignment="1">
      <alignment horizontal="center" vertical="center"/>
    </xf>
    <xf numFmtId="0" fontId="9" fillId="18" borderId="5" xfId="0" applyFont="1" applyFill="1" applyBorder="1" applyAlignment="1">
      <alignment horizontal="center" vertical="center"/>
    </xf>
    <xf numFmtId="0" fontId="9" fillId="18" borderId="2" xfId="0" applyFont="1" applyFill="1" applyBorder="1" applyAlignment="1">
      <alignment horizontal="center" vertical="center"/>
    </xf>
    <xf numFmtId="0" fontId="9" fillId="18" borderId="12" xfId="0" applyFont="1" applyFill="1" applyBorder="1" applyAlignment="1">
      <alignment horizontal="center" vertical="center"/>
    </xf>
    <xf numFmtId="0" fontId="6" fillId="23" borderId="10" xfId="0" applyFont="1" applyFill="1" applyBorder="1" applyAlignment="1">
      <alignment horizontal="center" vertical="center"/>
    </xf>
    <xf numFmtId="0" fontId="6" fillId="23" borderId="2" xfId="0" applyFont="1" applyFill="1" applyBorder="1" applyAlignment="1">
      <alignment horizontal="center" vertical="center"/>
    </xf>
    <xf numFmtId="0" fontId="3" fillId="23" borderId="2" xfId="0" applyFont="1" applyFill="1" applyBorder="1" applyAlignment="1">
      <alignment horizontal="center" vertical="center"/>
    </xf>
    <xf numFmtId="0" fontId="18" fillId="21" borderId="7" xfId="0" applyFont="1" applyFill="1" applyBorder="1" applyAlignment="1">
      <alignment horizontal="center" vertical="center"/>
    </xf>
    <xf numFmtId="0" fontId="18" fillId="21" borderId="8" xfId="0" applyFont="1" applyFill="1" applyBorder="1" applyAlignment="1">
      <alignment horizontal="center" vertical="center"/>
    </xf>
    <xf numFmtId="0" fontId="18" fillId="21" borderId="9" xfId="0" applyFont="1" applyFill="1" applyBorder="1" applyAlignment="1">
      <alignment horizontal="center" vertical="center"/>
    </xf>
    <xf numFmtId="0" fontId="17" fillId="22" borderId="13" xfId="0" applyFont="1" applyFill="1" applyBorder="1" applyAlignment="1">
      <alignment horizontal="center"/>
    </xf>
    <xf numFmtId="0" fontId="17" fillId="22" borderId="15" xfId="0" applyFont="1" applyFill="1" applyBorder="1" applyAlignment="1">
      <alignment horizontal="center"/>
    </xf>
    <xf numFmtId="0" fontId="17" fillId="22" borderId="14" xfId="0" applyFont="1" applyFill="1" applyBorder="1" applyAlignment="1">
      <alignment horizontal="center"/>
    </xf>
    <xf numFmtId="0" fontId="17" fillId="21" borderId="13" xfId="0" applyFont="1" applyFill="1" applyBorder="1" applyAlignment="1">
      <alignment horizontal="center"/>
    </xf>
    <xf numFmtId="0" fontId="17" fillId="21" borderId="15" xfId="0" applyFont="1" applyFill="1" applyBorder="1" applyAlignment="1">
      <alignment horizontal="center"/>
    </xf>
    <xf numFmtId="0" fontId="17" fillId="21" borderId="14" xfId="0" applyFont="1" applyFill="1" applyBorder="1" applyAlignment="1">
      <alignment horizontal="center"/>
    </xf>
    <xf numFmtId="0" fontId="6" fillId="18" borderId="10" xfId="0" applyFont="1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18" fillId="19" borderId="7" xfId="0" applyFont="1" applyFill="1" applyBorder="1" applyAlignment="1">
      <alignment horizontal="center" vertical="center"/>
    </xf>
    <xf numFmtId="0" fontId="18" fillId="19" borderId="8" xfId="0" applyFont="1" applyFill="1" applyBorder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" fillId="20" borderId="15" xfId="0" applyFont="1" applyFill="1" applyBorder="1" applyAlignment="1">
      <alignment horizontal="center"/>
    </xf>
    <xf numFmtId="0" fontId="17" fillId="19" borderId="13" xfId="0" applyFont="1" applyFill="1" applyBorder="1" applyAlignment="1">
      <alignment horizontal="center"/>
    </xf>
    <xf numFmtId="0" fontId="17" fillId="19" borderId="15" xfId="0" applyFont="1" applyFill="1" applyBorder="1" applyAlignment="1">
      <alignment horizontal="center"/>
    </xf>
    <xf numFmtId="0" fontId="17" fillId="19" borderId="14" xfId="0" applyFont="1" applyFill="1" applyBorder="1" applyAlignment="1">
      <alignment horizontal="center"/>
    </xf>
    <xf numFmtId="0" fontId="6" fillId="15" borderId="10" xfId="0" applyFont="1" applyFill="1" applyBorder="1" applyAlignment="1">
      <alignment horizontal="center" vertical="center"/>
    </xf>
    <xf numFmtId="0" fontId="6" fillId="15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18" fillId="4" borderId="7" xfId="0" applyFont="1" applyFill="1" applyBorder="1" applyAlignment="1">
      <alignment horizontal="center" vertical="center"/>
    </xf>
    <xf numFmtId="0" fontId="18" fillId="4" borderId="8" xfId="0" applyFont="1" applyFill="1" applyBorder="1" applyAlignment="1">
      <alignment horizontal="center" vertical="center"/>
    </xf>
    <xf numFmtId="0" fontId="18" fillId="4" borderId="9" xfId="0" applyFont="1" applyFill="1" applyBorder="1" applyAlignment="1">
      <alignment horizontal="center" vertical="center"/>
    </xf>
    <xf numFmtId="0" fontId="17" fillId="16" borderId="13" xfId="0" applyFont="1" applyFill="1" applyBorder="1" applyAlignment="1">
      <alignment horizontal="center"/>
    </xf>
    <xf numFmtId="0" fontId="17" fillId="16" borderId="15" xfId="0" applyFont="1" applyFill="1" applyBorder="1" applyAlignment="1">
      <alignment horizontal="center"/>
    </xf>
    <xf numFmtId="0" fontId="17" fillId="16" borderId="14" xfId="0" applyFont="1" applyFill="1" applyBorder="1" applyAlignment="1">
      <alignment horizontal="center"/>
    </xf>
    <xf numFmtId="0" fontId="17" fillId="4" borderId="13" xfId="0" applyFont="1" applyFill="1" applyBorder="1" applyAlignment="1">
      <alignment horizontal="center"/>
    </xf>
    <xf numFmtId="0" fontId="17" fillId="4" borderId="15" xfId="0" applyFont="1" applyFill="1" applyBorder="1" applyAlignment="1">
      <alignment horizontal="center"/>
    </xf>
    <xf numFmtId="0" fontId="17" fillId="4" borderId="14" xfId="0" applyFont="1" applyFill="1" applyBorder="1" applyAlignment="1">
      <alignment horizontal="center"/>
    </xf>
    <xf numFmtId="0" fontId="9" fillId="15" borderId="3" xfId="0" applyFont="1" applyFill="1" applyBorder="1" applyAlignment="1">
      <alignment horizontal="center" vertical="center"/>
    </xf>
    <xf numFmtId="0" fontId="9" fillId="15" borderId="10" xfId="0" applyFont="1" applyFill="1" applyBorder="1" applyAlignment="1">
      <alignment horizontal="center" vertical="center"/>
    </xf>
    <xf numFmtId="0" fontId="9" fillId="15" borderId="11" xfId="0" applyFont="1" applyFill="1" applyBorder="1" applyAlignment="1">
      <alignment horizontal="center" vertical="center"/>
    </xf>
    <xf numFmtId="0" fontId="9" fillId="15" borderId="5" xfId="0" applyFon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center" vertical="center"/>
    </xf>
    <xf numFmtId="0" fontId="9" fillId="15" borderId="12" xfId="0" applyFont="1" applyFill="1" applyBorder="1" applyAlignment="1">
      <alignment horizontal="center" vertic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9900"/>
      <color rgb="FFFFABAB"/>
      <color rgb="FFA50021"/>
      <color rgb="FF99CC00"/>
      <color rgb="FF008000"/>
      <color rgb="FF003300"/>
      <color rgb="FFCCFFFF"/>
      <color rgb="FF006666"/>
      <color rgb="FFFFCCFF"/>
      <color rgb="FF601A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1"/>
          <c:order val="1"/>
          <c:spPr>
            <a:ln w="28575" cap="rnd">
              <a:gradFill flip="none" rotWithShape="1">
                <a:gsLst>
                  <a:gs pos="0">
                    <a:schemeClr val="accent6">
                      <a:lumMod val="64000"/>
                    </a:schemeClr>
                  </a:gs>
                  <a:gs pos="48000">
                    <a:schemeClr val="accent6">
                      <a:lumMod val="97000"/>
                      <a:lumOff val="3000"/>
                    </a:schemeClr>
                  </a:gs>
                  <a:gs pos="100000">
                    <a:schemeClr val="accent6">
                      <a:lumMod val="60000"/>
                      <a:lumOff val="40000"/>
                    </a:schemeClr>
                  </a:gs>
                </a:gsLst>
                <a:lin ang="16200000" scaled="1"/>
                <a:tileRect/>
              </a:gradFill>
              <a:round/>
            </a:ln>
            <a:effectLst/>
          </c:spPr>
          <c:marker>
            <c:symbol val="none"/>
          </c:marker>
          <c:val>
            <c:numRef>
              <c:f>Tracker!$D$16:$AH$16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39A-4592-A9CB-905BF4B60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6">
                        <a:shade val="76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Tracker!$D$8:$AH$8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B39A-4592-A9CB-905BF4B60402}"/>
                  </c:ext>
                </c:extLst>
              </c15:ser>
            </c15:filteredLineSeries>
          </c:ext>
        </c:extLst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389708769322E-3"/>
          <c:y val="6.1323653054519069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1"/>
          <c:spPr>
            <a:ln w="28575" cap="rnd">
              <a:gradFill flip="none" rotWithShape="1">
                <a:gsLst>
                  <a:gs pos="0">
                    <a:srgbClr val="4EA72E">
                      <a:lumMod val="89000"/>
                    </a:srgbClr>
                  </a:gs>
                  <a:gs pos="23000">
                    <a:srgbClr val="4EA72E">
                      <a:lumMod val="89000"/>
                    </a:srgbClr>
                  </a:gs>
                  <a:gs pos="69000">
                    <a:srgbClr val="4EA72E">
                      <a:lumMod val="75000"/>
                    </a:srgbClr>
                  </a:gs>
                  <a:gs pos="97000">
                    <a:srgbClr val="4EA72E">
                      <a:lumMod val="70000"/>
                    </a:srgbClr>
                  </a:gs>
                </a:gsLst>
                <a:lin ang="5400000" scaled="1"/>
                <a:tileRect/>
              </a:gradFill>
              <a:round/>
            </a:ln>
            <a:effectLst/>
          </c:spPr>
          <c:marker>
            <c:symbol val="none"/>
          </c:marker>
          <c:val>
            <c:numRef>
              <c:f>Tracker!$D$33:$AE$33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8B6A-4784-9706-852FB294C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spPr>
                  <a:ln w="28575" cap="rnd">
                    <a:gradFill flip="none" rotWithShape="1">
                      <a:gsLst>
                        <a:gs pos="0">
                          <a:schemeClr val="accent6">
                            <a:lumMod val="64000"/>
                          </a:schemeClr>
                        </a:gs>
                        <a:gs pos="48000">
                          <a:schemeClr val="accent6">
                            <a:lumMod val="97000"/>
                            <a:lumOff val="3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</a:schemeClr>
                        </a:gs>
                      </a:gsLst>
                      <a:lin ang="16200000" scaled="1"/>
                      <a:tileRect/>
                    </a:gra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Tracker!$D$25:$AE$25</c15:sqref>
                        </c15:formulaRef>
                      </c:ext>
                    </c:extLst>
                    <c:numCache>
                      <c:formatCode>General</c:formatCode>
                      <c:ptCount val="2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39A-4592-A9CB-905BF4B60402}"/>
                  </c:ext>
                </c:extLst>
              </c15:ser>
            </c15:filteredLineSeries>
          </c:ext>
        </c:extLst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1"/>
          <c:spPr>
            <a:ln w="28575" cap="rnd">
              <a:solidFill>
                <a:schemeClr val="accent6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Tracker!$D$50:$AH$50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BFC-492B-BD12-51F42B201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spPr>
                  <a:ln w="28575" cap="rnd">
                    <a:gradFill flip="none" rotWithShape="1">
                      <a:gsLst>
                        <a:gs pos="0">
                          <a:schemeClr val="accent6">
                            <a:lumMod val="64000"/>
                          </a:schemeClr>
                        </a:gs>
                        <a:gs pos="48000">
                          <a:schemeClr val="accent6">
                            <a:lumMod val="97000"/>
                            <a:lumOff val="3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</a:schemeClr>
                        </a:gs>
                      </a:gsLst>
                      <a:lin ang="16200000" scaled="1"/>
                      <a:tileRect/>
                    </a:gra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Tracker!$D$42:$AH$42</c15:sqref>
                        </c15:formulaRef>
                      </c:ext>
                    </c:extLst>
                    <c:numCache>
                      <c:formatCode>General</c:formatCode>
                      <c:ptCount val="3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  <c:pt idx="21">
                        <c:v>22</c:v>
                      </c:pt>
                      <c:pt idx="22">
                        <c:v>23</c:v>
                      </c:pt>
                      <c:pt idx="23">
                        <c:v>24</c:v>
                      </c:pt>
                      <c:pt idx="24">
                        <c:v>25</c:v>
                      </c:pt>
                      <c:pt idx="25">
                        <c:v>26</c:v>
                      </c:pt>
                      <c:pt idx="26">
                        <c:v>27</c:v>
                      </c:pt>
                      <c:pt idx="27">
                        <c:v>28</c:v>
                      </c:pt>
                      <c:pt idx="28">
                        <c:v>29</c:v>
                      </c:pt>
                      <c:pt idx="29">
                        <c:v>30</c:v>
                      </c:pt>
                      <c:pt idx="30">
                        <c:v>31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39A-4592-A9CB-905BF4B60402}"/>
                  </c:ext>
                </c:extLst>
              </c15:ser>
            </c15:filteredLineSeries>
          </c:ext>
        </c:extLst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Tracker!$D$67:$AG$67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BFC-492B-BD12-51F42B201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/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chemeClr val="accent6">
                  <a:tint val="93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Tracker!$D$84:$AH$84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05B-4DB1-B0CB-752A26CEBF6D}"/>
            </c:ext>
          </c:extLst>
        </c:ser>
        <c:ser>
          <c:idx val="5"/>
          <c:order val="1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Tracker!$D$84:$AH$84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05B-4DB1-B0CB-752A26CEBF6D}"/>
            </c:ext>
          </c:extLst>
        </c:ser>
        <c:ser>
          <c:idx val="6"/>
          <c:order val="2"/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Tracker!$D$84:$AH$84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05B-4DB1-B0CB-752A26CEBF6D}"/>
            </c:ext>
          </c:extLst>
        </c:ser>
        <c:ser>
          <c:idx val="7"/>
          <c:order val="3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Tracker!$D$84:$AH$84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05B-4DB1-B0CB-752A26CEBF6D}"/>
            </c:ext>
          </c:extLst>
        </c:ser>
        <c:ser>
          <c:idx val="2"/>
          <c:order val="4"/>
          <c:spPr>
            <a:ln w="28575" cap="rnd">
              <a:solidFill>
                <a:schemeClr val="accent6">
                  <a:tint val="86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Tracker!$D$84:$AH$84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05B-4DB1-B0CB-752A26CEBF6D}"/>
            </c:ext>
          </c:extLst>
        </c:ser>
        <c:ser>
          <c:idx val="3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Tracker!$D$84:$AH$84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05B-4DB1-B0CB-752A26CEBF6D}"/>
            </c:ext>
          </c:extLst>
        </c:ser>
        <c:ser>
          <c:idx val="1"/>
          <c:order val="6"/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Tracker!$D$84:$AH$84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05B-4DB1-B0CB-752A26CEBF6D}"/>
            </c:ext>
          </c:extLst>
        </c:ser>
        <c:ser>
          <c:idx val="0"/>
          <c:order val="7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Tracker!$D$84:$AH$84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305B-4DB1-B0CB-752A26CEBF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/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Tracker!$D$101:$AG$101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BFC-492B-BD12-51F42B201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/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Tracker!$D$118:$AH$118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651-4CD2-A596-E46DACC1B4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/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Tracker!$D$135:$AH$135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DF-49E8-B0E6-6D1B7E4C8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/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Tracker!$D$152:$AG$152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03-4AAC-A60B-42628F004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/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Tracker!$D$169:$AH$169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C3-4822-8542-1B56D853AA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/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Tracker!$D$186:$AG$186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FF-4E56-B793-B22609AB15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/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2281230410405E-3"/>
          <c:y val="6.1323942740761868E-2"/>
          <c:w val="0.97988899792145523"/>
          <c:h val="0.8981481481481481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Tracker!$D$203:$AH$203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3B2-46D2-9AB8-AE32DF33E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9543056"/>
        <c:axId val="419544016"/>
        <c:extLst/>
      </c:lineChart>
      <c:catAx>
        <c:axId val="419543056"/>
        <c:scaling>
          <c:orientation val="minMax"/>
        </c:scaling>
        <c:delete val="1"/>
        <c:axPos val="b"/>
        <c:majorTickMark val="none"/>
        <c:minorTickMark val="none"/>
        <c:tickLblPos val="nextTo"/>
        <c:crossAx val="419544016"/>
        <c:crosses val="autoZero"/>
        <c:auto val="1"/>
        <c:lblAlgn val="ctr"/>
        <c:lblOffset val="100"/>
        <c:noMultiLvlLbl val="0"/>
      </c:catAx>
      <c:valAx>
        <c:axId val="419544016"/>
        <c:scaling>
          <c:orientation val="minMax"/>
          <c:max val="10"/>
        </c:scaling>
        <c:delete val="1"/>
        <c:axPos val="l"/>
        <c:numFmt formatCode="General" sourceLinked="1"/>
        <c:majorTickMark val="out"/>
        <c:minorTickMark val="none"/>
        <c:tickLblPos val="nextTo"/>
        <c:crossAx val="419543056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8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1131794</xdr:colOff>
      <xdr:row>15</xdr:row>
      <xdr:rowOff>34738</xdr:rowOff>
    </xdr:from>
    <xdr:to>
      <xdr:col>34</xdr:col>
      <xdr:colOff>313764</xdr:colOff>
      <xdr:row>18</xdr:row>
      <xdr:rowOff>168088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DB8A085-162F-AAF6-D3D4-3F0376F3A9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1142999</xdr:colOff>
      <xdr:row>32</xdr:row>
      <xdr:rowOff>44823</xdr:rowOff>
    </xdr:from>
    <xdr:to>
      <xdr:col>31</xdr:col>
      <xdr:colOff>179293</xdr:colOff>
      <xdr:row>35</xdr:row>
      <xdr:rowOff>178173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EB2C34D-A4F9-410E-8E43-E34CF6C878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1143000</xdr:colOff>
      <xdr:row>49</xdr:row>
      <xdr:rowOff>12327</xdr:rowOff>
    </xdr:from>
    <xdr:to>
      <xdr:col>34</xdr:col>
      <xdr:colOff>280146</xdr:colOff>
      <xdr:row>52</xdr:row>
      <xdr:rowOff>280147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B7429CD-C841-83CD-18C8-D7DCC76340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1109383</xdr:colOff>
      <xdr:row>66</xdr:row>
      <xdr:rowOff>34740</xdr:rowOff>
    </xdr:from>
    <xdr:to>
      <xdr:col>33</xdr:col>
      <xdr:colOff>381000</xdr:colOff>
      <xdr:row>69</xdr:row>
      <xdr:rowOff>190501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F334758-A9CB-94B5-4151-A9D2FEA33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1143000</xdr:colOff>
      <xdr:row>83</xdr:row>
      <xdr:rowOff>33618</xdr:rowOff>
    </xdr:from>
    <xdr:to>
      <xdr:col>34</xdr:col>
      <xdr:colOff>212911</xdr:colOff>
      <xdr:row>86</xdr:row>
      <xdr:rowOff>189379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3B2D37-0160-41DC-8003-54E6C960E9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1176618</xdr:colOff>
      <xdr:row>100</xdr:row>
      <xdr:rowOff>56030</xdr:rowOff>
    </xdr:from>
    <xdr:to>
      <xdr:col>33</xdr:col>
      <xdr:colOff>235324</xdr:colOff>
      <xdr:row>103</xdr:row>
      <xdr:rowOff>211791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2063B3A-572F-4DDC-B918-3BDF6746C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1199031</xdr:colOff>
      <xdr:row>117</xdr:row>
      <xdr:rowOff>33616</xdr:rowOff>
    </xdr:from>
    <xdr:to>
      <xdr:col>34</xdr:col>
      <xdr:colOff>145677</xdr:colOff>
      <xdr:row>120</xdr:row>
      <xdr:rowOff>189377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A414D9-4532-4D4E-B5F9-06A91C60D7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1199031</xdr:colOff>
      <xdr:row>134</xdr:row>
      <xdr:rowOff>44824</xdr:rowOff>
    </xdr:from>
    <xdr:to>
      <xdr:col>34</xdr:col>
      <xdr:colOff>145677</xdr:colOff>
      <xdr:row>137</xdr:row>
      <xdr:rowOff>200585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FDD7580-669C-4F13-A35C-1F28F29B1A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</xdr:col>
      <xdr:colOff>1210236</xdr:colOff>
      <xdr:row>151</xdr:row>
      <xdr:rowOff>67235</xdr:rowOff>
    </xdr:from>
    <xdr:to>
      <xdr:col>33</xdr:col>
      <xdr:colOff>313765</xdr:colOff>
      <xdr:row>154</xdr:row>
      <xdr:rowOff>222996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B404997-7EC7-48E5-B951-93C60170F4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1187823</xdr:colOff>
      <xdr:row>168</xdr:row>
      <xdr:rowOff>67236</xdr:rowOff>
    </xdr:from>
    <xdr:to>
      <xdr:col>34</xdr:col>
      <xdr:colOff>324969</xdr:colOff>
      <xdr:row>171</xdr:row>
      <xdr:rowOff>222997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5382EDE-5948-4EE1-83EB-4904C480F0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</xdr:col>
      <xdr:colOff>1176618</xdr:colOff>
      <xdr:row>185</xdr:row>
      <xdr:rowOff>11205</xdr:rowOff>
    </xdr:from>
    <xdr:to>
      <xdr:col>33</xdr:col>
      <xdr:colOff>280147</xdr:colOff>
      <xdr:row>188</xdr:row>
      <xdr:rowOff>166966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2F955EA-7D1D-4060-BF1B-F7F4D30DDD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</xdr:col>
      <xdr:colOff>1187824</xdr:colOff>
      <xdr:row>202</xdr:row>
      <xdr:rowOff>89648</xdr:rowOff>
    </xdr:from>
    <xdr:to>
      <xdr:col>34</xdr:col>
      <xdr:colOff>324970</xdr:colOff>
      <xdr:row>205</xdr:row>
      <xdr:rowOff>245409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D2DF12-7B1F-4B3C-BB44-80F586D8E5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F6375-0F2F-4F06-9FDB-7B5BD7FAF4A3}">
  <dimension ref="A1:AM203"/>
  <sheetViews>
    <sheetView showGridLines="0"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8" sqref="B8"/>
    </sheetView>
  </sheetViews>
  <sheetFormatPr defaultRowHeight="22.5" customHeight="1" x14ac:dyDescent="0.25"/>
  <cols>
    <col min="1" max="1" width="12" style="22" customWidth="1"/>
    <col min="3" max="3" width="19.42578125" customWidth="1"/>
    <col min="4" max="34" width="6.7109375" customWidth="1"/>
    <col min="38" max="38" width="12.28515625" customWidth="1"/>
  </cols>
  <sheetData>
    <row r="1" spans="1:39" s="3" customFormat="1" ht="51" x14ac:dyDescent="0.25">
      <c r="A1" s="38" t="s">
        <v>30</v>
      </c>
      <c r="B1" s="3" t="s">
        <v>0</v>
      </c>
      <c r="L1" s="41" t="s">
        <v>31</v>
      </c>
      <c r="M1" s="41" t="s">
        <v>32</v>
      </c>
      <c r="N1" s="41" t="s">
        <v>33</v>
      </c>
      <c r="O1" s="41" t="s">
        <v>34</v>
      </c>
      <c r="P1" s="41" t="s">
        <v>29</v>
      </c>
      <c r="Q1" s="41" t="s">
        <v>35</v>
      </c>
      <c r="R1" s="41" t="s">
        <v>36</v>
      </c>
      <c r="S1" s="41" t="s">
        <v>37</v>
      </c>
      <c r="T1" s="41" t="s">
        <v>38</v>
      </c>
      <c r="U1" s="41" t="s">
        <v>39</v>
      </c>
      <c r="V1" s="41" t="s">
        <v>40</v>
      </c>
      <c r="W1" s="41" t="s">
        <v>41</v>
      </c>
      <c r="X1" s="36"/>
      <c r="Y1" s="117"/>
      <c r="AM1" s="41"/>
    </row>
    <row r="2" spans="1:39" ht="15" x14ac:dyDescent="0.25"/>
    <row r="3" spans="1:39" ht="22.5" customHeight="1" x14ac:dyDescent="0.25">
      <c r="A3" s="39"/>
      <c r="C3" s="25"/>
      <c r="D3" s="470" t="s">
        <v>22</v>
      </c>
      <c r="E3" s="470"/>
      <c r="F3" s="470"/>
      <c r="G3" s="470"/>
      <c r="H3" s="470"/>
      <c r="I3" s="470"/>
      <c r="J3" s="470"/>
      <c r="K3" s="26"/>
      <c r="L3" s="26"/>
      <c r="M3" s="26"/>
      <c r="N3" s="27" t="s">
        <v>21</v>
      </c>
      <c r="O3" s="26"/>
      <c r="P3" s="26"/>
      <c r="Q3" s="26"/>
      <c r="R3" s="26"/>
      <c r="S3" s="27" t="s">
        <v>23</v>
      </c>
      <c r="T3" s="26"/>
      <c r="U3" s="28"/>
      <c r="V3" s="26"/>
      <c r="W3" s="26"/>
      <c r="X3" s="27" t="s">
        <v>27</v>
      </c>
      <c r="Y3" s="26"/>
      <c r="Z3" s="26"/>
      <c r="AA3" s="26"/>
      <c r="AB3" s="27" t="s">
        <v>28</v>
      </c>
      <c r="AC3" s="26"/>
      <c r="AD3" s="26"/>
      <c r="AE3" s="26"/>
      <c r="AF3" s="26"/>
      <c r="AG3" s="26"/>
      <c r="AH3" s="29"/>
    </row>
    <row r="4" spans="1:39" ht="22.5" customHeight="1" x14ac:dyDescent="0.25">
      <c r="A4" s="37"/>
      <c r="C4" s="30"/>
      <c r="D4" s="471"/>
      <c r="E4" s="471"/>
      <c r="F4" s="471"/>
      <c r="G4" s="471"/>
      <c r="H4" s="471"/>
      <c r="I4" s="471"/>
      <c r="J4" s="471"/>
      <c r="K4" s="31"/>
      <c r="L4" s="31"/>
      <c r="M4" s="31"/>
      <c r="N4" s="32">
        <f>COUNTA(C9:C15)</f>
        <v>7</v>
      </c>
      <c r="O4" s="31"/>
      <c r="P4" s="31"/>
      <c r="Q4" s="31"/>
      <c r="R4" s="31"/>
      <c r="S4" s="32">
        <f>COUNTIF(D9:AH15,TRUE)</f>
        <v>0</v>
      </c>
      <c r="T4" s="31"/>
      <c r="U4" s="33"/>
      <c r="V4" s="31"/>
      <c r="W4" s="473">
        <f>COUNTIF(D9:AH15, TRUE)/(COUNTA(D8:AH8)*COUNTA(C9:C15))</f>
        <v>0</v>
      </c>
      <c r="X4" s="473"/>
      <c r="Y4" s="473"/>
      <c r="Z4" s="31"/>
      <c r="AA4" s="31"/>
      <c r="AB4" s="34">
        <f>COUNTIF(D9:AH15, TRUE)/(COUNTA(D8:AH8)*COUNTA(C9:C15))</f>
        <v>0</v>
      </c>
      <c r="AC4" s="31"/>
      <c r="AD4" s="31"/>
      <c r="AE4" s="31"/>
      <c r="AF4" s="31"/>
      <c r="AG4" s="31"/>
      <c r="AH4" s="35"/>
    </row>
    <row r="5" spans="1:39" ht="22.5" customHeight="1" x14ac:dyDescent="0.25">
      <c r="A5" s="37"/>
    </row>
    <row r="6" spans="1:39" ht="22.5" customHeight="1" x14ac:dyDescent="0.25">
      <c r="A6" s="37"/>
      <c r="C6" s="469" t="s">
        <v>1</v>
      </c>
      <c r="D6" s="474" t="s">
        <v>9</v>
      </c>
      <c r="E6" s="474"/>
      <c r="F6" s="474"/>
      <c r="G6" s="474"/>
      <c r="H6" s="474"/>
      <c r="I6" s="474"/>
      <c r="J6" s="474"/>
      <c r="K6" s="475" t="s">
        <v>10</v>
      </c>
      <c r="L6" s="475"/>
      <c r="M6" s="475"/>
      <c r="N6" s="475"/>
      <c r="O6" s="475"/>
      <c r="P6" s="475"/>
      <c r="Q6" s="475"/>
      <c r="R6" s="474" t="s">
        <v>11</v>
      </c>
      <c r="S6" s="474"/>
      <c r="T6" s="474"/>
      <c r="U6" s="474"/>
      <c r="V6" s="474"/>
      <c r="W6" s="474"/>
      <c r="X6" s="474"/>
      <c r="Y6" s="475" t="s">
        <v>12</v>
      </c>
      <c r="Z6" s="475"/>
      <c r="AA6" s="475"/>
      <c r="AB6" s="475"/>
      <c r="AC6" s="475"/>
      <c r="AD6" s="475"/>
      <c r="AE6" s="475"/>
      <c r="AF6" s="474" t="s">
        <v>13</v>
      </c>
      <c r="AG6" s="474"/>
      <c r="AH6" s="474"/>
      <c r="AJ6" s="472" t="s">
        <v>24</v>
      </c>
      <c r="AK6" s="472"/>
      <c r="AL6" s="472"/>
    </row>
    <row r="7" spans="1:39" ht="22.5" customHeight="1" x14ac:dyDescent="0.25">
      <c r="A7" s="37"/>
      <c r="C7" s="469"/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2" t="s">
        <v>2</v>
      </c>
      <c r="L7" s="2" t="s">
        <v>3</v>
      </c>
      <c r="M7" s="2" t="s">
        <v>4</v>
      </c>
      <c r="N7" s="2" t="s">
        <v>5</v>
      </c>
      <c r="O7" s="2" t="s">
        <v>6</v>
      </c>
      <c r="P7" s="2" t="s">
        <v>7</v>
      </c>
      <c r="Q7" s="2" t="s">
        <v>8</v>
      </c>
      <c r="R7" s="1" t="s">
        <v>2</v>
      </c>
      <c r="S7" s="1" t="s">
        <v>3</v>
      </c>
      <c r="T7" s="1" t="s">
        <v>4</v>
      </c>
      <c r="U7" s="1" t="s">
        <v>5</v>
      </c>
      <c r="V7" s="1" t="s">
        <v>6</v>
      </c>
      <c r="W7" s="1" t="s">
        <v>7</v>
      </c>
      <c r="X7" s="1" t="s">
        <v>8</v>
      </c>
      <c r="Y7" s="2" t="s">
        <v>2</v>
      </c>
      <c r="Z7" s="2" t="s">
        <v>3</v>
      </c>
      <c r="AA7" s="2" t="s">
        <v>4</v>
      </c>
      <c r="AB7" s="2" t="s">
        <v>5</v>
      </c>
      <c r="AC7" s="2" t="s">
        <v>6</v>
      </c>
      <c r="AD7" s="2" t="s">
        <v>7</v>
      </c>
      <c r="AE7" s="2" t="s">
        <v>8</v>
      </c>
      <c r="AF7" s="1" t="s">
        <v>2</v>
      </c>
      <c r="AG7" s="1" t="s">
        <v>3</v>
      </c>
      <c r="AH7" s="1" t="s">
        <v>4</v>
      </c>
      <c r="AJ7" s="472"/>
      <c r="AK7" s="472"/>
      <c r="AL7" s="472"/>
    </row>
    <row r="8" spans="1:39" ht="22.5" customHeight="1" x14ac:dyDescent="0.25">
      <c r="A8" s="37"/>
      <c r="C8" s="469"/>
      <c r="D8" s="1">
        <v>1</v>
      </c>
      <c r="E8" s="1">
        <v>2</v>
      </c>
      <c r="F8" s="1">
        <v>3</v>
      </c>
      <c r="G8" s="1">
        <v>4</v>
      </c>
      <c r="H8" s="1">
        <v>5</v>
      </c>
      <c r="I8" s="1">
        <v>6</v>
      </c>
      <c r="J8" s="1">
        <v>7</v>
      </c>
      <c r="K8" s="2">
        <v>8</v>
      </c>
      <c r="L8" s="2">
        <v>9</v>
      </c>
      <c r="M8" s="2">
        <v>10</v>
      </c>
      <c r="N8" s="2">
        <v>11</v>
      </c>
      <c r="O8" s="2">
        <v>12</v>
      </c>
      <c r="P8" s="2">
        <v>13</v>
      </c>
      <c r="Q8" s="2">
        <v>14</v>
      </c>
      <c r="R8" s="1">
        <v>15</v>
      </c>
      <c r="S8" s="1">
        <v>16</v>
      </c>
      <c r="T8" s="1">
        <v>17</v>
      </c>
      <c r="U8" s="1">
        <v>18</v>
      </c>
      <c r="V8" s="1">
        <v>19</v>
      </c>
      <c r="W8" s="1">
        <v>20</v>
      </c>
      <c r="X8" s="1">
        <v>21</v>
      </c>
      <c r="Y8" s="2">
        <v>22</v>
      </c>
      <c r="Z8" s="2">
        <v>23</v>
      </c>
      <c r="AA8" s="2">
        <v>24</v>
      </c>
      <c r="AB8" s="2">
        <v>25</v>
      </c>
      <c r="AC8" s="2">
        <v>26</v>
      </c>
      <c r="AD8" s="2">
        <v>27</v>
      </c>
      <c r="AE8" s="2">
        <v>28</v>
      </c>
      <c r="AF8" s="1">
        <v>29</v>
      </c>
      <c r="AG8" s="1">
        <v>30</v>
      </c>
      <c r="AH8" s="1">
        <v>31</v>
      </c>
      <c r="AJ8" s="73" t="s">
        <v>25</v>
      </c>
      <c r="AK8" s="73" t="s">
        <v>26</v>
      </c>
      <c r="AL8" s="73" t="s">
        <v>27</v>
      </c>
    </row>
    <row r="9" spans="1:39" ht="22.5" customHeight="1" x14ac:dyDescent="0.25">
      <c r="A9" s="37"/>
      <c r="C9" s="75" t="s">
        <v>14</v>
      </c>
      <c r="D9" s="5" t="b">
        <v>0</v>
      </c>
      <c r="E9" s="6" t="b">
        <v>0</v>
      </c>
      <c r="F9" s="6" t="b">
        <v>0</v>
      </c>
      <c r="G9" s="6" t="b">
        <v>0</v>
      </c>
      <c r="H9" s="6" t="b">
        <v>0</v>
      </c>
      <c r="I9" s="6" t="b">
        <v>0</v>
      </c>
      <c r="J9" s="7" t="b">
        <v>0</v>
      </c>
      <c r="K9" s="13" t="b">
        <v>0</v>
      </c>
      <c r="L9" s="14" t="b">
        <v>0</v>
      </c>
      <c r="M9" s="14" t="b">
        <v>0</v>
      </c>
      <c r="N9" s="14" t="b">
        <v>0</v>
      </c>
      <c r="O9" s="14" t="b">
        <v>0</v>
      </c>
      <c r="P9" s="14" t="b">
        <v>0</v>
      </c>
      <c r="Q9" s="15" t="b">
        <v>0</v>
      </c>
      <c r="R9" s="5" t="b">
        <v>0</v>
      </c>
      <c r="S9" s="6" t="b">
        <v>0</v>
      </c>
      <c r="T9" s="6" t="b">
        <v>0</v>
      </c>
      <c r="U9" s="6" t="b">
        <v>0</v>
      </c>
      <c r="V9" s="6" t="b">
        <v>0</v>
      </c>
      <c r="W9" s="6" t="b">
        <v>0</v>
      </c>
      <c r="X9" s="7" t="b">
        <v>0</v>
      </c>
      <c r="Y9" s="13" t="b">
        <v>0</v>
      </c>
      <c r="Z9" s="14" t="b">
        <v>0</v>
      </c>
      <c r="AA9" s="14" t="b">
        <v>0</v>
      </c>
      <c r="AB9" s="14" t="b">
        <v>0</v>
      </c>
      <c r="AC9" s="14" t="b">
        <v>0</v>
      </c>
      <c r="AD9" s="14" t="b">
        <v>0</v>
      </c>
      <c r="AE9" s="15" t="b">
        <v>0</v>
      </c>
      <c r="AF9" s="4" t="b">
        <v>0</v>
      </c>
      <c r="AG9" s="4" t="b">
        <v>0</v>
      </c>
      <c r="AH9" s="7" t="b">
        <v>0</v>
      </c>
      <c r="AJ9" s="23">
        <f>COUNTA(D9:AH9)</f>
        <v>31</v>
      </c>
      <c r="AK9" s="23">
        <f>COUNTIF(D9:AH9, TRUE)</f>
        <v>0</v>
      </c>
      <c r="AL9" s="24">
        <f>AK9/AJ9</f>
        <v>0</v>
      </c>
    </row>
    <row r="10" spans="1:39" ht="22.5" customHeight="1" x14ac:dyDescent="0.25">
      <c r="A10" s="37"/>
      <c r="C10" s="76" t="s">
        <v>15</v>
      </c>
      <c r="D10" s="8" t="b">
        <v>0</v>
      </c>
      <c r="E10" s="4" t="b">
        <v>0</v>
      </c>
      <c r="F10" s="4" t="b">
        <v>0</v>
      </c>
      <c r="G10" s="4" t="b">
        <v>0</v>
      </c>
      <c r="H10" s="4" t="b">
        <v>0</v>
      </c>
      <c r="I10" s="4" t="b">
        <v>0</v>
      </c>
      <c r="J10" s="9" t="b">
        <v>0</v>
      </c>
      <c r="K10" s="16" t="b">
        <v>0</v>
      </c>
      <c r="L10" s="17" t="b">
        <v>0</v>
      </c>
      <c r="M10" s="17" t="b">
        <v>0</v>
      </c>
      <c r="N10" s="17" t="b">
        <v>0</v>
      </c>
      <c r="O10" s="17" t="b">
        <v>0</v>
      </c>
      <c r="P10" s="17" t="b">
        <v>0</v>
      </c>
      <c r="Q10" s="18" t="b">
        <v>0</v>
      </c>
      <c r="R10" s="8" t="b">
        <v>0</v>
      </c>
      <c r="S10" s="4" t="b">
        <v>0</v>
      </c>
      <c r="T10" s="4" t="b">
        <v>0</v>
      </c>
      <c r="U10" s="4" t="b">
        <v>0</v>
      </c>
      <c r="V10" s="4" t="b">
        <v>0</v>
      </c>
      <c r="W10" s="4" t="b">
        <v>0</v>
      </c>
      <c r="X10" s="9" t="b">
        <v>0</v>
      </c>
      <c r="Y10" s="16" t="b">
        <v>0</v>
      </c>
      <c r="Z10" s="17" t="b">
        <v>0</v>
      </c>
      <c r="AA10" s="17" t="b">
        <v>0</v>
      </c>
      <c r="AB10" s="17" t="b">
        <v>0</v>
      </c>
      <c r="AC10" s="17" t="b">
        <v>0</v>
      </c>
      <c r="AD10" s="17" t="b">
        <v>0</v>
      </c>
      <c r="AE10" s="18" t="b">
        <v>0</v>
      </c>
      <c r="AF10" s="4" t="b">
        <v>0</v>
      </c>
      <c r="AG10" s="4" t="b">
        <v>0</v>
      </c>
      <c r="AH10" s="9" t="b">
        <v>0</v>
      </c>
      <c r="AJ10" s="23">
        <f t="shared" ref="AJ10:AJ15" si="0">COUNTA(D10:AH10)</f>
        <v>31</v>
      </c>
      <c r="AK10" s="23">
        <f t="shared" ref="AK10:AK15" si="1">COUNTIF(D10:AH10, TRUE)</f>
        <v>0</v>
      </c>
      <c r="AL10" s="24">
        <f t="shared" ref="AL10:AL15" si="2">AK10/AJ10</f>
        <v>0</v>
      </c>
    </row>
    <row r="11" spans="1:39" ht="22.5" customHeight="1" x14ac:dyDescent="0.25">
      <c r="A11" s="37"/>
      <c r="C11" s="76" t="s">
        <v>16</v>
      </c>
      <c r="D11" s="8" t="b">
        <v>0</v>
      </c>
      <c r="E11" s="4" t="b">
        <v>0</v>
      </c>
      <c r="F11" s="4" t="b">
        <v>0</v>
      </c>
      <c r="G11" s="4" t="b">
        <v>0</v>
      </c>
      <c r="H11" s="4" t="b">
        <v>0</v>
      </c>
      <c r="I11" s="4" t="b">
        <v>0</v>
      </c>
      <c r="J11" s="9" t="b">
        <v>0</v>
      </c>
      <c r="K11" s="16" t="b">
        <v>0</v>
      </c>
      <c r="L11" s="17" t="b">
        <v>0</v>
      </c>
      <c r="M11" s="17" t="b">
        <v>0</v>
      </c>
      <c r="N11" s="17" t="b">
        <v>0</v>
      </c>
      <c r="O11" s="17" t="b">
        <v>0</v>
      </c>
      <c r="P11" s="17" t="b">
        <v>0</v>
      </c>
      <c r="Q11" s="18" t="b">
        <v>0</v>
      </c>
      <c r="R11" s="8" t="b">
        <v>0</v>
      </c>
      <c r="S11" s="4" t="b">
        <v>0</v>
      </c>
      <c r="T11" s="4" t="b">
        <v>0</v>
      </c>
      <c r="U11" s="4" t="b">
        <v>0</v>
      </c>
      <c r="V11" s="4" t="b">
        <v>0</v>
      </c>
      <c r="W11" s="4" t="b">
        <v>0</v>
      </c>
      <c r="X11" s="9" t="b">
        <v>0</v>
      </c>
      <c r="Y11" s="16" t="b">
        <v>0</v>
      </c>
      <c r="Z11" s="17" t="b">
        <v>0</v>
      </c>
      <c r="AA11" s="17" t="b">
        <v>0</v>
      </c>
      <c r="AB11" s="17" t="b">
        <v>0</v>
      </c>
      <c r="AC11" s="17" t="b">
        <v>0</v>
      </c>
      <c r="AD11" s="17" t="b">
        <v>0</v>
      </c>
      <c r="AE11" s="18" t="b">
        <v>0</v>
      </c>
      <c r="AF11" s="4" t="b">
        <v>0</v>
      </c>
      <c r="AG11" s="4" t="b">
        <v>0</v>
      </c>
      <c r="AH11" s="9" t="b">
        <v>0</v>
      </c>
      <c r="AJ11" s="23">
        <f>COUNTA(D11:AH11)</f>
        <v>31</v>
      </c>
      <c r="AK11" s="23">
        <f>COUNTIF(D11:AH11, TRUE)</f>
        <v>0</v>
      </c>
      <c r="AL11" s="24">
        <f t="shared" si="2"/>
        <v>0</v>
      </c>
    </row>
    <row r="12" spans="1:39" ht="22.5" customHeight="1" x14ac:dyDescent="0.25">
      <c r="A12" s="37"/>
      <c r="C12" s="76" t="s">
        <v>17</v>
      </c>
      <c r="D12" s="8" t="b">
        <v>0</v>
      </c>
      <c r="E12" s="4" t="b">
        <v>0</v>
      </c>
      <c r="F12" s="4" t="b">
        <v>0</v>
      </c>
      <c r="G12" s="4" t="b">
        <v>0</v>
      </c>
      <c r="H12" s="4" t="b">
        <v>0</v>
      </c>
      <c r="I12" s="4" t="b">
        <v>0</v>
      </c>
      <c r="J12" s="9" t="b">
        <v>0</v>
      </c>
      <c r="K12" s="16" t="b">
        <v>0</v>
      </c>
      <c r="L12" s="17" t="b">
        <v>0</v>
      </c>
      <c r="M12" s="17" t="b">
        <v>0</v>
      </c>
      <c r="N12" s="17" t="b">
        <v>0</v>
      </c>
      <c r="O12" s="17" t="b">
        <v>0</v>
      </c>
      <c r="P12" s="17" t="b">
        <v>0</v>
      </c>
      <c r="Q12" s="18" t="b">
        <v>0</v>
      </c>
      <c r="R12" s="8" t="b">
        <v>0</v>
      </c>
      <c r="S12" s="4" t="b">
        <v>0</v>
      </c>
      <c r="T12" s="4" t="b">
        <v>0</v>
      </c>
      <c r="U12" s="4" t="b">
        <v>0</v>
      </c>
      <c r="V12" s="4" t="b">
        <v>0</v>
      </c>
      <c r="W12" s="4" t="b">
        <v>0</v>
      </c>
      <c r="X12" s="9" t="b">
        <v>0</v>
      </c>
      <c r="Y12" s="16" t="b">
        <v>0</v>
      </c>
      <c r="Z12" s="17" t="b">
        <v>0</v>
      </c>
      <c r="AA12" s="17" t="b">
        <v>0</v>
      </c>
      <c r="AB12" s="17" t="b">
        <v>0</v>
      </c>
      <c r="AC12" s="17" t="b">
        <v>0</v>
      </c>
      <c r="AD12" s="17" t="b">
        <v>0</v>
      </c>
      <c r="AE12" s="18" t="b">
        <v>0</v>
      </c>
      <c r="AF12" s="4" t="b">
        <v>0</v>
      </c>
      <c r="AG12" s="4" t="b">
        <v>0</v>
      </c>
      <c r="AH12" s="9" t="b">
        <v>0</v>
      </c>
      <c r="AJ12" s="23">
        <f t="shared" si="0"/>
        <v>31</v>
      </c>
      <c r="AK12" s="23">
        <f t="shared" si="1"/>
        <v>0</v>
      </c>
      <c r="AL12" s="24">
        <f t="shared" si="2"/>
        <v>0</v>
      </c>
    </row>
    <row r="13" spans="1:39" ht="22.5" customHeight="1" x14ac:dyDescent="0.25">
      <c r="A13" s="37"/>
      <c r="C13" s="76" t="s">
        <v>19</v>
      </c>
      <c r="D13" s="8" t="b">
        <v>0</v>
      </c>
      <c r="E13" s="4" t="b">
        <v>0</v>
      </c>
      <c r="F13" s="4" t="b">
        <v>0</v>
      </c>
      <c r="G13" s="4" t="b">
        <v>0</v>
      </c>
      <c r="H13" s="4" t="b">
        <v>0</v>
      </c>
      <c r="I13" s="4" t="b">
        <v>0</v>
      </c>
      <c r="J13" s="9" t="b">
        <v>0</v>
      </c>
      <c r="K13" s="16" t="b">
        <v>0</v>
      </c>
      <c r="L13" s="17" t="b">
        <v>0</v>
      </c>
      <c r="M13" s="17" t="b">
        <v>0</v>
      </c>
      <c r="N13" s="17" t="b">
        <v>0</v>
      </c>
      <c r="O13" s="17" t="b">
        <v>0</v>
      </c>
      <c r="P13" s="17" t="b">
        <v>0</v>
      </c>
      <c r="Q13" s="18" t="b">
        <v>0</v>
      </c>
      <c r="R13" s="8" t="b">
        <v>0</v>
      </c>
      <c r="S13" s="4" t="b">
        <v>0</v>
      </c>
      <c r="T13" s="4" t="b">
        <v>0</v>
      </c>
      <c r="U13" s="4" t="b">
        <v>0</v>
      </c>
      <c r="V13" s="4" t="b">
        <v>0</v>
      </c>
      <c r="W13" s="4" t="b">
        <v>0</v>
      </c>
      <c r="X13" s="9" t="b">
        <v>0</v>
      </c>
      <c r="Y13" s="16" t="b">
        <v>0</v>
      </c>
      <c r="Z13" s="17" t="b">
        <v>0</v>
      </c>
      <c r="AA13" s="17" t="b">
        <v>0</v>
      </c>
      <c r="AB13" s="17" t="b">
        <v>0</v>
      </c>
      <c r="AC13" s="17" t="b">
        <v>0</v>
      </c>
      <c r="AD13" s="17" t="b">
        <v>0</v>
      </c>
      <c r="AE13" s="18" t="b">
        <v>0</v>
      </c>
      <c r="AF13" s="4" t="b">
        <v>0</v>
      </c>
      <c r="AG13" s="4" t="b">
        <v>0</v>
      </c>
      <c r="AH13" s="9" t="b">
        <v>0</v>
      </c>
      <c r="AJ13" s="23">
        <f t="shared" si="0"/>
        <v>31</v>
      </c>
      <c r="AK13" s="23">
        <f t="shared" si="1"/>
        <v>0</v>
      </c>
      <c r="AL13" s="24">
        <f t="shared" si="2"/>
        <v>0</v>
      </c>
    </row>
    <row r="14" spans="1:39" ht="22.5" customHeight="1" x14ac:dyDescent="0.25">
      <c r="A14" s="37"/>
      <c r="C14" s="76" t="s">
        <v>20</v>
      </c>
      <c r="D14" s="8" t="b">
        <v>0</v>
      </c>
      <c r="E14" s="4" t="b">
        <v>0</v>
      </c>
      <c r="F14" s="4" t="b">
        <v>0</v>
      </c>
      <c r="G14" s="4" t="b">
        <v>0</v>
      </c>
      <c r="H14" s="4" t="b">
        <v>0</v>
      </c>
      <c r="I14" s="4" t="b">
        <v>0</v>
      </c>
      <c r="J14" s="9" t="b">
        <v>0</v>
      </c>
      <c r="K14" s="16" t="b">
        <v>0</v>
      </c>
      <c r="L14" s="17" t="b">
        <v>0</v>
      </c>
      <c r="M14" s="17" t="b">
        <v>0</v>
      </c>
      <c r="N14" s="17" t="b">
        <v>0</v>
      </c>
      <c r="O14" s="17" t="b">
        <v>0</v>
      </c>
      <c r="P14" s="17" t="b">
        <v>0</v>
      </c>
      <c r="Q14" s="18" t="b">
        <v>0</v>
      </c>
      <c r="R14" s="8" t="b">
        <v>0</v>
      </c>
      <c r="S14" s="4" t="b">
        <v>0</v>
      </c>
      <c r="T14" s="4" t="b">
        <v>0</v>
      </c>
      <c r="U14" s="4" t="b">
        <v>0</v>
      </c>
      <c r="V14" s="4" t="b">
        <v>0</v>
      </c>
      <c r="W14" s="4" t="b">
        <v>0</v>
      </c>
      <c r="X14" s="9" t="b">
        <v>0</v>
      </c>
      <c r="Y14" s="16" t="b">
        <v>0</v>
      </c>
      <c r="Z14" s="17" t="b">
        <v>0</v>
      </c>
      <c r="AA14" s="17" t="b">
        <v>0</v>
      </c>
      <c r="AB14" s="17" t="b">
        <v>0</v>
      </c>
      <c r="AC14" s="17" t="b">
        <v>0</v>
      </c>
      <c r="AD14" s="17" t="b">
        <v>0</v>
      </c>
      <c r="AE14" s="18" t="b">
        <v>0</v>
      </c>
      <c r="AF14" s="4" t="b">
        <v>0</v>
      </c>
      <c r="AG14" s="4" t="b">
        <v>0</v>
      </c>
      <c r="AH14" s="9" t="b">
        <v>0</v>
      </c>
      <c r="AJ14" s="23">
        <f t="shared" si="0"/>
        <v>31</v>
      </c>
      <c r="AK14" s="23">
        <f t="shared" si="1"/>
        <v>0</v>
      </c>
      <c r="AL14" s="24">
        <f t="shared" si="2"/>
        <v>0</v>
      </c>
    </row>
    <row r="15" spans="1:39" ht="22.5" customHeight="1" x14ac:dyDescent="0.25">
      <c r="C15" s="77" t="s">
        <v>18</v>
      </c>
      <c r="D15" s="10" t="b">
        <v>0</v>
      </c>
      <c r="E15" s="11" t="b">
        <v>0</v>
      </c>
      <c r="F15" s="11" t="b">
        <v>0</v>
      </c>
      <c r="G15" s="11" t="b">
        <v>0</v>
      </c>
      <c r="H15" s="11" t="b">
        <v>0</v>
      </c>
      <c r="I15" s="11" t="b">
        <v>0</v>
      </c>
      <c r="J15" s="12" t="b">
        <v>0</v>
      </c>
      <c r="K15" s="19" t="b">
        <v>0</v>
      </c>
      <c r="L15" s="20" t="b">
        <v>0</v>
      </c>
      <c r="M15" s="20" t="b">
        <v>0</v>
      </c>
      <c r="N15" s="20" t="b">
        <v>0</v>
      </c>
      <c r="O15" s="20" t="b">
        <v>0</v>
      </c>
      <c r="P15" s="20" t="b">
        <v>0</v>
      </c>
      <c r="Q15" s="21" t="b">
        <v>0</v>
      </c>
      <c r="R15" s="10" t="b">
        <v>0</v>
      </c>
      <c r="S15" s="11" t="b">
        <v>0</v>
      </c>
      <c r="T15" s="11" t="b">
        <v>0</v>
      </c>
      <c r="U15" s="11" t="b">
        <v>0</v>
      </c>
      <c r="V15" s="11" t="b">
        <v>0</v>
      </c>
      <c r="W15" s="11" t="b">
        <v>0</v>
      </c>
      <c r="X15" s="12" t="b">
        <v>0</v>
      </c>
      <c r="Y15" s="19" t="b">
        <v>0</v>
      </c>
      <c r="Z15" s="20" t="b">
        <v>0</v>
      </c>
      <c r="AA15" s="20" t="b">
        <v>0</v>
      </c>
      <c r="AB15" s="20" t="b">
        <v>0</v>
      </c>
      <c r="AC15" s="20" t="b">
        <v>0</v>
      </c>
      <c r="AD15" s="20" t="b">
        <v>0</v>
      </c>
      <c r="AE15" s="21" t="b">
        <v>0</v>
      </c>
      <c r="AF15" s="4" t="b">
        <v>0</v>
      </c>
      <c r="AG15" s="4" t="b">
        <v>0</v>
      </c>
      <c r="AH15" s="9" t="b">
        <v>0</v>
      </c>
      <c r="AJ15" s="23">
        <f t="shared" si="0"/>
        <v>31</v>
      </c>
      <c r="AK15" s="23">
        <f t="shared" si="1"/>
        <v>0</v>
      </c>
      <c r="AL15" s="24">
        <f t="shared" si="2"/>
        <v>0</v>
      </c>
    </row>
    <row r="16" spans="1:39" ht="22.5" customHeight="1" x14ac:dyDescent="0.25">
      <c r="D16">
        <f>COUNTIF(D9:D15, TRUE)</f>
        <v>0</v>
      </c>
      <c r="E16">
        <f t="shared" ref="E16:AH16" si="3">COUNTIF(E9:E15, TRUE)</f>
        <v>0</v>
      </c>
      <c r="F16">
        <f t="shared" si="3"/>
        <v>0</v>
      </c>
      <c r="G16">
        <f t="shared" si="3"/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</row>
    <row r="20" spans="3:35" ht="22.5" customHeight="1" x14ac:dyDescent="0.25">
      <c r="C20" s="42"/>
      <c r="D20" s="433" t="s">
        <v>42</v>
      </c>
      <c r="E20" s="433"/>
      <c r="F20" s="433"/>
      <c r="G20" s="433"/>
      <c r="H20" s="433"/>
      <c r="I20" s="433"/>
      <c r="J20" s="433"/>
      <c r="K20" s="43"/>
      <c r="L20" s="43"/>
      <c r="M20" s="43"/>
      <c r="N20" s="44" t="s">
        <v>21</v>
      </c>
      <c r="O20" s="43"/>
      <c r="P20" s="43"/>
      <c r="Q20" s="43"/>
      <c r="R20" s="43"/>
      <c r="S20" s="44" t="s">
        <v>23</v>
      </c>
      <c r="T20" s="43"/>
      <c r="U20" s="45"/>
      <c r="V20" s="43"/>
      <c r="W20" s="43"/>
      <c r="X20" s="44" t="s">
        <v>27</v>
      </c>
      <c r="Y20" s="43"/>
      <c r="Z20" s="43"/>
      <c r="AA20" s="43"/>
      <c r="AB20" s="44" t="s">
        <v>28</v>
      </c>
      <c r="AC20" s="43"/>
      <c r="AD20" s="43"/>
      <c r="AE20" s="46"/>
      <c r="AF20" s="40"/>
      <c r="AG20" s="40"/>
      <c r="AH20" s="40"/>
    </row>
    <row r="21" spans="3:35" ht="22.5" customHeight="1" x14ac:dyDescent="0.25">
      <c r="C21" s="47"/>
      <c r="D21" s="434"/>
      <c r="E21" s="434"/>
      <c r="F21" s="434"/>
      <c r="G21" s="434"/>
      <c r="H21" s="434"/>
      <c r="I21" s="434"/>
      <c r="J21" s="434"/>
      <c r="K21" s="48"/>
      <c r="L21" s="48"/>
      <c r="M21" s="48"/>
      <c r="N21" s="49">
        <f>COUNTA(C26:C32)</f>
        <v>7</v>
      </c>
      <c r="O21" s="48"/>
      <c r="P21" s="48"/>
      <c r="Q21" s="48"/>
      <c r="R21" s="48"/>
      <c r="S21" s="49">
        <f>COUNTIF(D26:AE32,TRUE)</f>
        <v>0</v>
      </c>
      <c r="T21" s="48"/>
      <c r="U21" s="50"/>
      <c r="V21" s="48"/>
      <c r="W21" s="435">
        <f>COUNTIF(D26:AE32, TRUE)/(COUNTA(D25:AE25)*COUNTA(C26:C32))</f>
        <v>0</v>
      </c>
      <c r="X21" s="435"/>
      <c r="Y21" s="435"/>
      <c r="Z21" s="48"/>
      <c r="AA21" s="48"/>
      <c r="AB21" s="51">
        <f>COUNTIF(D26:AE32, TRUE)/(COUNTA(D25:AE25)*COUNTA(C26:C32))</f>
        <v>0</v>
      </c>
      <c r="AC21" s="48"/>
      <c r="AD21" s="48"/>
      <c r="AE21" s="52"/>
      <c r="AF21" s="40"/>
      <c r="AG21" s="40"/>
      <c r="AH21" s="40"/>
    </row>
    <row r="23" spans="3:35" ht="22.5" customHeight="1" x14ac:dyDescent="0.25">
      <c r="C23" s="436" t="s">
        <v>1</v>
      </c>
      <c r="D23" s="439" t="s">
        <v>9</v>
      </c>
      <c r="E23" s="440"/>
      <c r="F23" s="440"/>
      <c r="G23" s="440"/>
      <c r="H23" s="440"/>
      <c r="I23" s="440"/>
      <c r="J23" s="441"/>
      <c r="K23" s="442" t="s">
        <v>10</v>
      </c>
      <c r="L23" s="443"/>
      <c r="M23" s="443"/>
      <c r="N23" s="443"/>
      <c r="O23" s="443"/>
      <c r="P23" s="443"/>
      <c r="Q23" s="444"/>
      <c r="R23" s="439" t="s">
        <v>11</v>
      </c>
      <c r="S23" s="440"/>
      <c r="T23" s="440"/>
      <c r="U23" s="440"/>
      <c r="V23" s="440"/>
      <c r="W23" s="440"/>
      <c r="X23" s="441"/>
      <c r="Y23" s="442" t="s">
        <v>12</v>
      </c>
      <c r="Z23" s="443"/>
      <c r="AA23" s="443"/>
      <c r="AB23" s="443"/>
      <c r="AC23" s="443"/>
      <c r="AD23" s="443"/>
      <c r="AE23" s="444"/>
      <c r="AG23" s="415" t="s">
        <v>24</v>
      </c>
      <c r="AH23" s="416"/>
      <c r="AI23" s="417"/>
    </row>
    <row r="24" spans="3:35" ht="22.5" customHeight="1" x14ac:dyDescent="0.25">
      <c r="C24" s="437"/>
      <c r="D24" s="53" t="s">
        <v>3</v>
      </c>
      <c r="E24" s="53" t="s">
        <v>4</v>
      </c>
      <c r="F24" s="53" t="s">
        <v>5</v>
      </c>
      <c r="G24" s="53" t="s">
        <v>6</v>
      </c>
      <c r="H24" s="53" t="s">
        <v>7</v>
      </c>
      <c r="I24" s="53" t="s">
        <v>8</v>
      </c>
      <c r="J24" s="53" t="s">
        <v>2</v>
      </c>
      <c r="K24" s="63" t="s">
        <v>3</v>
      </c>
      <c r="L24" s="63" t="s">
        <v>4</v>
      </c>
      <c r="M24" s="63" t="s">
        <v>5</v>
      </c>
      <c r="N24" s="63" t="s">
        <v>6</v>
      </c>
      <c r="O24" s="63" t="s">
        <v>7</v>
      </c>
      <c r="P24" s="63" t="s">
        <v>8</v>
      </c>
      <c r="Q24" s="63" t="s">
        <v>2</v>
      </c>
      <c r="R24" s="53" t="s">
        <v>3</v>
      </c>
      <c r="S24" s="53" t="s">
        <v>4</v>
      </c>
      <c r="T24" s="53" t="s">
        <v>5</v>
      </c>
      <c r="U24" s="53" t="s">
        <v>6</v>
      </c>
      <c r="V24" s="53" t="s">
        <v>7</v>
      </c>
      <c r="W24" s="53" t="s">
        <v>8</v>
      </c>
      <c r="X24" s="53" t="s">
        <v>2</v>
      </c>
      <c r="Y24" s="63" t="s">
        <v>3</v>
      </c>
      <c r="Z24" s="63" t="s">
        <v>4</v>
      </c>
      <c r="AA24" s="63" t="s">
        <v>5</v>
      </c>
      <c r="AB24" s="63" t="s">
        <v>6</v>
      </c>
      <c r="AC24" s="63" t="s">
        <v>7</v>
      </c>
      <c r="AD24" s="63" t="s">
        <v>8</v>
      </c>
      <c r="AE24" s="63" t="s">
        <v>2</v>
      </c>
      <c r="AG24" s="418"/>
      <c r="AH24" s="419"/>
      <c r="AI24" s="420"/>
    </row>
    <row r="25" spans="3:35" ht="22.5" customHeight="1" x14ac:dyDescent="0.25">
      <c r="C25" s="438"/>
      <c r="D25" s="53">
        <v>1</v>
      </c>
      <c r="E25" s="53">
        <v>2</v>
      </c>
      <c r="F25" s="53">
        <v>3</v>
      </c>
      <c r="G25" s="53">
        <v>4</v>
      </c>
      <c r="H25" s="53">
        <v>5</v>
      </c>
      <c r="I25" s="53">
        <v>6</v>
      </c>
      <c r="J25" s="53">
        <v>7</v>
      </c>
      <c r="K25" s="63">
        <v>8</v>
      </c>
      <c r="L25" s="63">
        <v>9</v>
      </c>
      <c r="M25" s="63">
        <v>10</v>
      </c>
      <c r="N25" s="63">
        <v>11</v>
      </c>
      <c r="O25" s="63">
        <v>12</v>
      </c>
      <c r="P25" s="63">
        <v>13</v>
      </c>
      <c r="Q25" s="63">
        <v>14</v>
      </c>
      <c r="R25" s="53">
        <v>15</v>
      </c>
      <c r="S25" s="53">
        <v>16</v>
      </c>
      <c r="T25" s="53">
        <v>17</v>
      </c>
      <c r="U25" s="53">
        <v>18</v>
      </c>
      <c r="V25" s="53">
        <v>19</v>
      </c>
      <c r="W25" s="53">
        <v>20</v>
      </c>
      <c r="X25" s="53">
        <v>21</v>
      </c>
      <c r="Y25" s="63">
        <v>22</v>
      </c>
      <c r="Z25" s="63">
        <v>23</v>
      </c>
      <c r="AA25" s="63">
        <v>24</v>
      </c>
      <c r="AB25" s="63">
        <v>25</v>
      </c>
      <c r="AC25" s="63">
        <v>26</v>
      </c>
      <c r="AD25" s="63">
        <v>27</v>
      </c>
      <c r="AE25" s="63">
        <v>28</v>
      </c>
      <c r="AG25" s="74" t="s">
        <v>25</v>
      </c>
      <c r="AH25" s="74" t="s">
        <v>26</v>
      </c>
      <c r="AI25" s="74" t="s">
        <v>27</v>
      </c>
    </row>
    <row r="26" spans="3:35" ht="22.5" customHeight="1" x14ac:dyDescent="0.25">
      <c r="C26" s="78" t="s">
        <v>14</v>
      </c>
      <c r="D26" s="54" t="b">
        <v>0</v>
      </c>
      <c r="E26" s="55" t="b">
        <v>0</v>
      </c>
      <c r="F26" s="55" t="b">
        <v>0</v>
      </c>
      <c r="G26" s="55" t="b">
        <v>0</v>
      </c>
      <c r="H26" s="55" t="b">
        <v>0</v>
      </c>
      <c r="I26" s="55" t="b">
        <v>0</v>
      </c>
      <c r="J26" s="56" t="b">
        <v>0</v>
      </c>
      <c r="K26" s="64" t="b">
        <v>0</v>
      </c>
      <c r="L26" s="65" t="b">
        <v>0</v>
      </c>
      <c r="M26" s="65" t="b">
        <v>0</v>
      </c>
      <c r="N26" s="65" t="b">
        <v>0</v>
      </c>
      <c r="O26" s="65" t="b">
        <v>0</v>
      </c>
      <c r="P26" s="65" t="b">
        <v>0</v>
      </c>
      <c r="Q26" s="66" t="b">
        <v>0</v>
      </c>
      <c r="R26" s="54" t="b">
        <v>0</v>
      </c>
      <c r="S26" s="55" t="b">
        <v>0</v>
      </c>
      <c r="T26" s="55" t="b">
        <v>0</v>
      </c>
      <c r="U26" s="55" t="b">
        <v>0</v>
      </c>
      <c r="V26" s="55" t="b">
        <v>0</v>
      </c>
      <c r="W26" s="55" t="b">
        <v>0</v>
      </c>
      <c r="X26" s="56" t="b">
        <v>0</v>
      </c>
      <c r="Y26" s="64" t="b">
        <v>0</v>
      </c>
      <c r="Z26" s="65" t="b">
        <v>0</v>
      </c>
      <c r="AA26" s="65" t="b">
        <v>0</v>
      </c>
      <c r="AB26" s="65" t="b">
        <v>0</v>
      </c>
      <c r="AC26" s="65" t="b">
        <v>0</v>
      </c>
      <c r="AD26" s="65" t="b">
        <v>0</v>
      </c>
      <c r="AE26" s="66" t="b">
        <v>0</v>
      </c>
      <c r="AG26" s="23">
        <f>COUNTA(D26:AE26)</f>
        <v>28</v>
      </c>
      <c r="AH26" s="23">
        <f t="shared" ref="AH26:AH32" si="4">COUNTIF(D26:AE26, TRUE)</f>
        <v>0</v>
      </c>
      <c r="AI26" s="24">
        <f>AH26/AG26</f>
        <v>0</v>
      </c>
    </row>
    <row r="27" spans="3:35" ht="22.5" customHeight="1" x14ac:dyDescent="0.25">
      <c r="C27" s="79" t="s">
        <v>15</v>
      </c>
      <c r="D27" s="57" t="b">
        <v>0</v>
      </c>
      <c r="E27" s="58" t="b">
        <v>0</v>
      </c>
      <c r="F27" s="58" t="b">
        <v>0</v>
      </c>
      <c r="G27" s="58" t="b">
        <v>0</v>
      </c>
      <c r="H27" s="58" t="b">
        <v>0</v>
      </c>
      <c r="I27" s="58" t="b">
        <v>0</v>
      </c>
      <c r="J27" s="59" t="b">
        <v>0</v>
      </c>
      <c r="K27" s="67" t="b">
        <v>0</v>
      </c>
      <c r="L27" s="68" t="b">
        <v>0</v>
      </c>
      <c r="M27" s="68" t="b">
        <v>0</v>
      </c>
      <c r="N27" s="68" t="b">
        <v>0</v>
      </c>
      <c r="O27" s="68" t="b">
        <v>0</v>
      </c>
      <c r="P27" s="68" t="b">
        <v>0</v>
      </c>
      <c r="Q27" s="69" t="b">
        <v>0</v>
      </c>
      <c r="R27" s="57" t="b">
        <v>0</v>
      </c>
      <c r="S27" s="58" t="b">
        <v>0</v>
      </c>
      <c r="T27" s="58" t="b">
        <v>0</v>
      </c>
      <c r="U27" s="58" t="b">
        <v>0</v>
      </c>
      <c r="V27" s="58" t="b">
        <v>0</v>
      </c>
      <c r="W27" s="58" t="b">
        <v>0</v>
      </c>
      <c r="X27" s="59" t="b">
        <v>0</v>
      </c>
      <c r="Y27" s="67" t="b">
        <v>0</v>
      </c>
      <c r="Z27" s="68" t="b">
        <v>0</v>
      </c>
      <c r="AA27" s="68" t="b">
        <v>0</v>
      </c>
      <c r="AB27" s="68" t="b">
        <v>0</v>
      </c>
      <c r="AC27" s="68" t="b">
        <v>0</v>
      </c>
      <c r="AD27" s="68" t="b">
        <v>0</v>
      </c>
      <c r="AE27" s="69" t="b">
        <v>0</v>
      </c>
      <c r="AG27" s="23">
        <f>COUNTA(D27:AE27)</f>
        <v>28</v>
      </c>
      <c r="AH27" s="23">
        <f t="shared" si="4"/>
        <v>0</v>
      </c>
      <c r="AI27" s="24">
        <f t="shared" ref="AI27:AI32" si="5">AH27/AG27</f>
        <v>0</v>
      </c>
    </row>
    <row r="28" spans="3:35" ht="22.5" customHeight="1" x14ac:dyDescent="0.25">
      <c r="C28" s="79" t="s">
        <v>16</v>
      </c>
      <c r="D28" s="57" t="b">
        <v>0</v>
      </c>
      <c r="E28" s="58" t="b">
        <v>0</v>
      </c>
      <c r="F28" s="58" t="b">
        <v>0</v>
      </c>
      <c r="G28" s="58" t="b">
        <v>0</v>
      </c>
      <c r="H28" s="58" t="b">
        <v>0</v>
      </c>
      <c r="I28" s="58" t="b">
        <v>0</v>
      </c>
      <c r="J28" s="59" t="b">
        <v>0</v>
      </c>
      <c r="K28" s="67" t="b">
        <v>0</v>
      </c>
      <c r="L28" s="68" t="b">
        <v>0</v>
      </c>
      <c r="M28" s="68" t="b">
        <v>0</v>
      </c>
      <c r="N28" s="68" t="b">
        <v>0</v>
      </c>
      <c r="O28" s="68" t="b">
        <v>0</v>
      </c>
      <c r="P28" s="68" t="b">
        <v>0</v>
      </c>
      <c r="Q28" s="69" t="b">
        <v>0</v>
      </c>
      <c r="R28" s="57" t="b">
        <v>0</v>
      </c>
      <c r="S28" s="58" t="b">
        <v>0</v>
      </c>
      <c r="T28" s="58" t="b">
        <v>0</v>
      </c>
      <c r="U28" s="58" t="b">
        <v>0</v>
      </c>
      <c r="V28" s="58" t="b">
        <v>0</v>
      </c>
      <c r="W28" s="58" t="b">
        <v>0</v>
      </c>
      <c r="X28" s="59" t="b">
        <v>0</v>
      </c>
      <c r="Y28" s="67" t="b">
        <v>0</v>
      </c>
      <c r="Z28" s="68" t="b">
        <v>0</v>
      </c>
      <c r="AA28" s="68" t="b">
        <v>0</v>
      </c>
      <c r="AB28" s="68" t="b">
        <v>0</v>
      </c>
      <c r="AC28" s="68" t="b">
        <v>0</v>
      </c>
      <c r="AD28" s="68" t="b">
        <v>0</v>
      </c>
      <c r="AE28" s="69" t="b">
        <v>0</v>
      </c>
      <c r="AG28" s="23">
        <f t="shared" ref="AG28:AG32" si="6">COUNTA(D28:AE28)</f>
        <v>28</v>
      </c>
      <c r="AH28" s="23">
        <f t="shared" si="4"/>
        <v>0</v>
      </c>
      <c r="AI28" s="24">
        <f t="shared" si="5"/>
        <v>0</v>
      </c>
    </row>
    <row r="29" spans="3:35" ht="22.5" customHeight="1" x14ac:dyDescent="0.25">
      <c r="C29" s="79" t="s">
        <v>17</v>
      </c>
      <c r="D29" s="57" t="b">
        <v>0</v>
      </c>
      <c r="E29" s="58" t="b">
        <v>0</v>
      </c>
      <c r="F29" s="58" t="b">
        <v>0</v>
      </c>
      <c r="G29" s="58" t="b">
        <v>0</v>
      </c>
      <c r="H29" s="58" t="b">
        <v>0</v>
      </c>
      <c r="I29" s="58" t="b">
        <v>0</v>
      </c>
      <c r="J29" s="59" t="b">
        <v>0</v>
      </c>
      <c r="K29" s="67" t="b">
        <v>0</v>
      </c>
      <c r="L29" s="68" t="b">
        <v>0</v>
      </c>
      <c r="M29" s="68" t="b">
        <v>0</v>
      </c>
      <c r="N29" s="68" t="b">
        <v>0</v>
      </c>
      <c r="O29" s="68" t="b">
        <v>0</v>
      </c>
      <c r="P29" s="68" t="b">
        <v>0</v>
      </c>
      <c r="Q29" s="69" t="b">
        <v>0</v>
      </c>
      <c r="R29" s="57" t="b">
        <v>0</v>
      </c>
      <c r="S29" s="58" t="b">
        <v>0</v>
      </c>
      <c r="T29" s="58" t="b">
        <v>0</v>
      </c>
      <c r="U29" s="58" t="b">
        <v>0</v>
      </c>
      <c r="V29" s="58" t="b">
        <v>0</v>
      </c>
      <c r="W29" s="58" t="b">
        <v>0</v>
      </c>
      <c r="X29" s="59" t="b">
        <v>0</v>
      </c>
      <c r="Y29" s="67" t="b">
        <v>0</v>
      </c>
      <c r="Z29" s="68" t="b">
        <v>0</v>
      </c>
      <c r="AA29" s="68" t="b">
        <v>0</v>
      </c>
      <c r="AB29" s="68" t="b">
        <v>0</v>
      </c>
      <c r="AC29" s="68" t="b">
        <v>0</v>
      </c>
      <c r="AD29" s="68" t="b">
        <v>0</v>
      </c>
      <c r="AE29" s="69" t="b">
        <v>0</v>
      </c>
      <c r="AG29" s="23">
        <f t="shared" si="6"/>
        <v>28</v>
      </c>
      <c r="AH29" s="23">
        <f t="shared" si="4"/>
        <v>0</v>
      </c>
      <c r="AI29" s="24">
        <f>AH29/AG29</f>
        <v>0</v>
      </c>
    </row>
    <row r="30" spans="3:35" ht="22.5" customHeight="1" x14ac:dyDescent="0.25">
      <c r="C30" s="79" t="s">
        <v>19</v>
      </c>
      <c r="D30" s="57" t="b">
        <v>0</v>
      </c>
      <c r="E30" s="58" t="b">
        <v>0</v>
      </c>
      <c r="F30" s="58" t="b">
        <v>0</v>
      </c>
      <c r="G30" s="58" t="b">
        <v>0</v>
      </c>
      <c r="H30" s="58" t="b">
        <v>0</v>
      </c>
      <c r="I30" s="58" t="b">
        <v>0</v>
      </c>
      <c r="J30" s="59" t="b">
        <v>0</v>
      </c>
      <c r="K30" s="67" t="b">
        <v>0</v>
      </c>
      <c r="L30" s="68" t="b">
        <v>0</v>
      </c>
      <c r="M30" s="68" t="b">
        <v>0</v>
      </c>
      <c r="N30" s="68" t="b">
        <v>0</v>
      </c>
      <c r="O30" s="68" t="b">
        <v>0</v>
      </c>
      <c r="P30" s="68" t="b">
        <v>0</v>
      </c>
      <c r="Q30" s="69" t="b">
        <v>0</v>
      </c>
      <c r="R30" s="57" t="b">
        <v>0</v>
      </c>
      <c r="S30" s="58" t="b">
        <v>0</v>
      </c>
      <c r="T30" s="58" t="b">
        <v>0</v>
      </c>
      <c r="U30" s="58" t="b">
        <v>0</v>
      </c>
      <c r="V30" s="58" t="b">
        <v>0</v>
      </c>
      <c r="W30" s="58" t="b">
        <v>0</v>
      </c>
      <c r="X30" s="59" t="b">
        <v>0</v>
      </c>
      <c r="Y30" s="67" t="b">
        <v>0</v>
      </c>
      <c r="Z30" s="68" t="b">
        <v>0</v>
      </c>
      <c r="AA30" s="68" t="b">
        <v>0</v>
      </c>
      <c r="AB30" s="68" t="b">
        <v>0</v>
      </c>
      <c r="AC30" s="68" t="b">
        <v>0</v>
      </c>
      <c r="AD30" s="68" t="b">
        <v>0</v>
      </c>
      <c r="AE30" s="69" t="b">
        <v>0</v>
      </c>
      <c r="AG30" s="23">
        <f t="shared" si="6"/>
        <v>28</v>
      </c>
      <c r="AH30" s="23">
        <f t="shared" si="4"/>
        <v>0</v>
      </c>
      <c r="AI30" s="24">
        <f t="shared" si="5"/>
        <v>0</v>
      </c>
    </row>
    <row r="31" spans="3:35" ht="22.5" customHeight="1" x14ac:dyDescent="0.25">
      <c r="C31" s="79" t="s">
        <v>20</v>
      </c>
      <c r="D31" s="57" t="b">
        <v>0</v>
      </c>
      <c r="E31" s="58" t="b">
        <v>0</v>
      </c>
      <c r="F31" s="58" t="b">
        <v>0</v>
      </c>
      <c r="G31" s="58" t="b">
        <v>0</v>
      </c>
      <c r="H31" s="58" t="b">
        <v>0</v>
      </c>
      <c r="I31" s="58" t="b">
        <v>0</v>
      </c>
      <c r="J31" s="59" t="b">
        <v>0</v>
      </c>
      <c r="K31" s="67" t="b">
        <v>0</v>
      </c>
      <c r="L31" s="68" t="b">
        <v>0</v>
      </c>
      <c r="M31" s="68" t="b">
        <v>0</v>
      </c>
      <c r="N31" s="68" t="b">
        <v>0</v>
      </c>
      <c r="O31" s="68" t="b">
        <v>0</v>
      </c>
      <c r="P31" s="68" t="b">
        <v>0</v>
      </c>
      <c r="Q31" s="69" t="b">
        <v>0</v>
      </c>
      <c r="R31" s="57" t="b">
        <v>0</v>
      </c>
      <c r="S31" s="58" t="b">
        <v>0</v>
      </c>
      <c r="T31" s="58" t="b">
        <v>0</v>
      </c>
      <c r="U31" s="58" t="b">
        <v>0</v>
      </c>
      <c r="V31" s="58" t="b">
        <v>0</v>
      </c>
      <c r="W31" s="58" t="b">
        <v>0</v>
      </c>
      <c r="X31" s="59" t="b">
        <v>0</v>
      </c>
      <c r="Y31" s="67" t="b">
        <v>0</v>
      </c>
      <c r="Z31" s="68" t="b">
        <v>0</v>
      </c>
      <c r="AA31" s="68" t="b">
        <v>0</v>
      </c>
      <c r="AB31" s="68" t="b">
        <v>0</v>
      </c>
      <c r="AC31" s="68" t="b">
        <v>0</v>
      </c>
      <c r="AD31" s="68" t="b">
        <v>0</v>
      </c>
      <c r="AE31" s="69" t="b">
        <v>0</v>
      </c>
      <c r="AG31" s="23">
        <f t="shared" si="6"/>
        <v>28</v>
      </c>
      <c r="AH31" s="23">
        <f t="shared" si="4"/>
        <v>0</v>
      </c>
      <c r="AI31" s="24">
        <f t="shared" si="5"/>
        <v>0</v>
      </c>
    </row>
    <row r="32" spans="3:35" ht="22.5" customHeight="1" x14ac:dyDescent="0.25">
      <c r="C32" s="80" t="s">
        <v>18</v>
      </c>
      <c r="D32" s="60" t="b">
        <v>0</v>
      </c>
      <c r="E32" s="61" t="b">
        <v>0</v>
      </c>
      <c r="F32" s="61" t="b">
        <v>0</v>
      </c>
      <c r="G32" s="61" t="b">
        <v>0</v>
      </c>
      <c r="H32" s="61" t="b">
        <v>0</v>
      </c>
      <c r="I32" s="61" t="b">
        <v>0</v>
      </c>
      <c r="J32" s="62" t="b">
        <v>0</v>
      </c>
      <c r="K32" s="70" t="b">
        <v>0</v>
      </c>
      <c r="L32" s="71" t="b">
        <v>0</v>
      </c>
      <c r="M32" s="71" t="b">
        <v>0</v>
      </c>
      <c r="N32" s="71" t="b">
        <v>0</v>
      </c>
      <c r="O32" s="71" t="b">
        <v>0</v>
      </c>
      <c r="P32" s="71" t="b">
        <v>0</v>
      </c>
      <c r="Q32" s="72" t="b">
        <v>0</v>
      </c>
      <c r="R32" s="60" t="b">
        <v>0</v>
      </c>
      <c r="S32" s="61" t="b">
        <v>0</v>
      </c>
      <c r="T32" s="61" t="b">
        <v>0</v>
      </c>
      <c r="U32" s="61" t="b">
        <v>0</v>
      </c>
      <c r="V32" s="61" t="b">
        <v>0</v>
      </c>
      <c r="W32" s="61" t="b">
        <v>0</v>
      </c>
      <c r="X32" s="62" t="b">
        <v>0</v>
      </c>
      <c r="Y32" s="70" t="b">
        <v>0</v>
      </c>
      <c r="Z32" s="71" t="b">
        <v>0</v>
      </c>
      <c r="AA32" s="71" t="b">
        <v>0</v>
      </c>
      <c r="AB32" s="71" t="b">
        <v>0</v>
      </c>
      <c r="AC32" s="71" t="b">
        <v>0</v>
      </c>
      <c r="AD32" s="71" t="b">
        <v>0</v>
      </c>
      <c r="AE32" s="72" t="b">
        <v>0</v>
      </c>
      <c r="AG32" s="23">
        <f t="shared" si="6"/>
        <v>28</v>
      </c>
      <c r="AH32" s="23">
        <f t="shared" si="4"/>
        <v>0</v>
      </c>
      <c r="AI32" s="24">
        <f t="shared" si="5"/>
        <v>0</v>
      </c>
    </row>
    <row r="33" spans="3:38" ht="22.5" customHeight="1" x14ac:dyDescent="0.25">
      <c r="D33">
        <f>COUNTIF(D26:D32, TRUE)</f>
        <v>0</v>
      </c>
      <c r="E33">
        <f t="shared" ref="E33" si="7">COUNTIF(E26:E32, TRUE)</f>
        <v>0</v>
      </c>
      <c r="F33">
        <f t="shared" ref="F33" si="8">COUNTIF(F26:F32, TRUE)</f>
        <v>0</v>
      </c>
      <c r="G33">
        <f t="shared" ref="G33" si="9">COUNTIF(G26:G32, TRUE)</f>
        <v>0</v>
      </c>
      <c r="H33">
        <f t="shared" ref="H33" si="10">COUNTIF(H26:H32, TRUE)</f>
        <v>0</v>
      </c>
      <c r="I33">
        <f t="shared" ref="I33" si="11">COUNTIF(I26:I32, TRUE)</f>
        <v>0</v>
      </c>
      <c r="J33">
        <f t="shared" ref="J33" si="12">COUNTIF(J26:J32, TRUE)</f>
        <v>0</v>
      </c>
      <c r="K33">
        <f t="shared" ref="K33" si="13">COUNTIF(K26:K32, TRUE)</f>
        <v>0</v>
      </c>
      <c r="L33">
        <f t="shared" ref="L33" si="14">COUNTIF(L26:L32, TRUE)</f>
        <v>0</v>
      </c>
      <c r="M33">
        <f t="shared" ref="M33" si="15">COUNTIF(M26:M32, TRUE)</f>
        <v>0</v>
      </c>
      <c r="N33">
        <f t="shared" ref="N33" si="16">COUNTIF(N26:N32, TRUE)</f>
        <v>0</v>
      </c>
      <c r="O33">
        <f t="shared" ref="O33" si="17">COUNTIF(O26:O32, TRUE)</f>
        <v>0</v>
      </c>
      <c r="P33">
        <f t="shared" ref="P33" si="18">COUNTIF(P26:P32, TRUE)</f>
        <v>0</v>
      </c>
      <c r="Q33">
        <f t="shared" ref="Q33" si="19">COUNTIF(Q26:Q32, TRUE)</f>
        <v>0</v>
      </c>
      <c r="R33">
        <f t="shared" ref="R33" si="20">COUNTIF(R26:R32, TRUE)</f>
        <v>0</v>
      </c>
      <c r="S33">
        <f t="shared" ref="S33" si="21">COUNTIF(S26:S32, TRUE)</f>
        <v>0</v>
      </c>
      <c r="T33">
        <f t="shared" ref="T33" si="22">COUNTIF(T26:T32, TRUE)</f>
        <v>0</v>
      </c>
      <c r="U33">
        <f t="shared" ref="U33" si="23">COUNTIF(U26:U32, TRUE)</f>
        <v>0</v>
      </c>
      <c r="V33">
        <f t="shared" ref="V33" si="24">COUNTIF(V26:V32, TRUE)</f>
        <v>0</v>
      </c>
      <c r="W33">
        <f t="shared" ref="W33" si="25">COUNTIF(W26:W32, TRUE)</f>
        <v>0</v>
      </c>
      <c r="X33">
        <f t="shared" ref="X33" si="26">COUNTIF(X26:X32, TRUE)</f>
        <v>0</v>
      </c>
      <c r="Y33">
        <f t="shared" ref="Y33" si="27">COUNTIF(Y26:Y32, TRUE)</f>
        <v>0</v>
      </c>
      <c r="Z33">
        <f t="shared" ref="Z33" si="28">COUNTIF(Z26:Z32, TRUE)</f>
        <v>0</v>
      </c>
      <c r="AA33">
        <f t="shared" ref="AA33" si="29">COUNTIF(AA26:AA32, TRUE)</f>
        <v>0</v>
      </c>
      <c r="AB33">
        <f t="shared" ref="AB33" si="30">COUNTIF(AB26:AB32, TRUE)</f>
        <v>0</v>
      </c>
      <c r="AC33">
        <f t="shared" ref="AC33" si="31">COUNTIF(AC26:AC32, TRUE)</f>
        <v>0</v>
      </c>
      <c r="AD33">
        <f t="shared" ref="AD33" si="32">COUNTIF(AD26:AD32, TRUE)</f>
        <v>0</v>
      </c>
      <c r="AE33">
        <f t="shared" ref="AE33" si="33">COUNTIF(AE26:AE32, TRUE)</f>
        <v>0</v>
      </c>
    </row>
    <row r="37" spans="3:38" ht="22.5" customHeight="1" x14ac:dyDescent="0.25">
      <c r="C37" s="81"/>
      <c r="D37" s="421" t="s">
        <v>43</v>
      </c>
      <c r="E37" s="421"/>
      <c r="F37" s="421"/>
      <c r="G37" s="421"/>
      <c r="H37" s="421"/>
      <c r="I37" s="421"/>
      <c r="J37" s="421"/>
      <c r="K37" s="82"/>
      <c r="L37" s="82"/>
      <c r="M37" s="82"/>
      <c r="N37" s="83" t="s">
        <v>21</v>
      </c>
      <c r="O37" s="82"/>
      <c r="P37" s="82"/>
      <c r="Q37" s="82"/>
      <c r="R37" s="82"/>
      <c r="S37" s="83" t="s">
        <v>23</v>
      </c>
      <c r="T37" s="82"/>
      <c r="U37" s="84"/>
      <c r="V37" s="82"/>
      <c r="W37" s="82"/>
      <c r="X37" s="83" t="s">
        <v>27</v>
      </c>
      <c r="Y37" s="82"/>
      <c r="Z37" s="82"/>
      <c r="AA37" s="82"/>
      <c r="AB37" s="83" t="s">
        <v>28</v>
      </c>
      <c r="AC37" s="82"/>
      <c r="AD37" s="82"/>
      <c r="AE37" s="82"/>
      <c r="AF37" s="82"/>
      <c r="AG37" s="82"/>
      <c r="AH37" s="85"/>
    </row>
    <row r="38" spans="3:38" ht="22.5" customHeight="1" x14ac:dyDescent="0.25">
      <c r="C38" s="86"/>
      <c r="D38" s="422"/>
      <c r="E38" s="422"/>
      <c r="F38" s="422"/>
      <c r="G38" s="422"/>
      <c r="H38" s="422"/>
      <c r="I38" s="422"/>
      <c r="J38" s="422"/>
      <c r="K38" s="87"/>
      <c r="L38" s="87"/>
      <c r="M38" s="87"/>
      <c r="N38" s="88">
        <f>COUNTA(C43:C49)</f>
        <v>7</v>
      </c>
      <c r="O38" s="87"/>
      <c r="P38" s="87"/>
      <c r="Q38" s="87"/>
      <c r="R38" s="87"/>
      <c r="S38" s="88">
        <f>COUNTIF(D43:AH49,TRUE)</f>
        <v>0</v>
      </c>
      <c r="T38" s="87"/>
      <c r="U38" s="89"/>
      <c r="V38" s="87"/>
      <c r="W38" s="423">
        <f>COUNTIF(D43:AH49, TRUE)/(COUNTA(D42:AH42)*COUNTA(C43:C49))</f>
        <v>0</v>
      </c>
      <c r="X38" s="423"/>
      <c r="Y38" s="423"/>
      <c r="Z38" s="87"/>
      <c r="AA38" s="87"/>
      <c r="AB38" s="90">
        <f>COUNTIF(D43:AH49, TRUE)/(COUNTA(D42:AH42)*COUNTA(C43:C49))</f>
        <v>0</v>
      </c>
      <c r="AC38" s="87"/>
      <c r="AD38" s="87"/>
      <c r="AE38" s="87"/>
      <c r="AF38" s="87"/>
      <c r="AG38" s="87"/>
      <c r="AH38" s="91"/>
    </row>
    <row r="40" spans="3:38" ht="22.5" customHeight="1" x14ac:dyDescent="0.25">
      <c r="C40" s="424" t="s">
        <v>1</v>
      </c>
      <c r="D40" s="427" t="s">
        <v>9</v>
      </c>
      <c r="E40" s="428"/>
      <c r="F40" s="428"/>
      <c r="G40" s="428"/>
      <c r="H40" s="428"/>
      <c r="I40" s="428"/>
      <c r="J40" s="429"/>
      <c r="K40" s="430" t="s">
        <v>10</v>
      </c>
      <c r="L40" s="431"/>
      <c r="M40" s="431"/>
      <c r="N40" s="431"/>
      <c r="O40" s="431"/>
      <c r="P40" s="431"/>
      <c r="Q40" s="432"/>
      <c r="R40" s="427" t="s">
        <v>11</v>
      </c>
      <c r="S40" s="428"/>
      <c r="T40" s="428"/>
      <c r="U40" s="428"/>
      <c r="V40" s="428"/>
      <c r="W40" s="428"/>
      <c r="X40" s="429"/>
      <c r="Y40" s="430" t="s">
        <v>12</v>
      </c>
      <c r="Z40" s="431"/>
      <c r="AA40" s="431"/>
      <c r="AB40" s="431"/>
      <c r="AC40" s="431"/>
      <c r="AD40" s="431"/>
      <c r="AE40" s="432"/>
      <c r="AF40" s="427" t="s">
        <v>13</v>
      </c>
      <c r="AG40" s="428"/>
      <c r="AH40" s="429"/>
      <c r="AJ40" s="457" t="s">
        <v>24</v>
      </c>
      <c r="AK40" s="458"/>
      <c r="AL40" s="459"/>
    </row>
    <row r="41" spans="3:38" ht="22.5" customHeight="1" x14ac:dyDescent="0.25">
      <c r="C41" s="425"/>
      <c r="D41" s="92" t="s">
        <v>3</v>
      </c>
      <c r="E41" s="92" t="s">
        <v>4</v>
      </c>
      <c r="F41" s="92" t="s">
        <v>5</v>
      </c>
      <c r="G41" s="92" t="s">
        <v>6</v>
      </c>
      <c r="H41" s="92" t="s">
        <v>7</v>
      </c>
      <c r="I41" s="92" t="s">
        <v>8</v>
      </c>
      <c r="J41" s="92" t="s">
        <v>2</v>
      </c>
      <c r="K41" s="116" t="s">
        <v>3</v>
      </c>
      <c r="L41" s="116" t="s">
        <v>4</v>
      </c>
      <c r="M41" s="116" t="s">
        <v>5</v>
      </c>
      <c r="N41" s="116" t="s">
        <v>6</v>
      </c>
      <c r="O41" s="116" t="s">
        <v>7</v>
      </c>
      <c r="P41" s="116" t="s">
        <v>8</v>
      </c>
      <c r="Q41" s="116" t="s">
        <v>2</v>
      </c>
      <c r="R41" s="92" t="s">
        <v>3</v>
      </c>
      <c r="S41" s="92" t="s">
        <v>4</v>
      </c>
      <c r="T41" s="92" t="s">
        <v>5</v>
      </c>
      <c r="U41" s="92" t="s">
        <v>6</v>
      </c>
      <c r="V41" s="92" t="s">
        <v>7</v>
      </c>
      <c r="W41" s="92" t="s">
        <v>8</v>
      </c>
      <c r="X41" s="92" t="s">
        <v>2</v>
      </c>
      <c r="Y41" s="116" t="s">
        <v>3</v>
      </c>
      <c r="Z41" s="116" t="s">
        <v>4</v>
      </c>
      <c r="AA41" s="116" t="s">
        <v>5</v>
      </c>
      <c r="AB41" s="116" t="s">
        <v>6</v>
      </c>
      <c r="AC41" s="116" t="s">
        <v>7</v>
      </c>
      <c r="AD41" s="116" t="s">
        <v>8</v>
      </c>
      <c r="AE41" s="116" t="s">
        <v>2</v>
      </c>
      <c r="AF41" s="92" t="s">
        <v>3</v>
      </c>
      <c r="AG41" s="92" t="s">
        <v>4</v>
      </c>
      <c r="AH41" s="92" t="s">
        <v>5</v>
      </c>
      <c r="AJ41" s="460"/>
      <c r="AK41" s="461"/>
      <c r="AL41" s="462"/>
    </row>
    <row r="42" spans="3:38" ht="22.5" customHeight="1" x14ac:dyDescent="0.25">
      <c r="C42" s="426"/>
      <c r="D42" s="92">
        <v>1</v>
      </c>
      <c r="E42" s="92">
        <v>2</v>
      </c>
      <c r="F42" s="92">
        <v>3</v>
      </c>
      <c r="G42" s="92">
        <v>4</v>
      </c>
      <c r="H42" s="92">
        <v>5</v>
      </c>
      <c r="I42" s="92">
        <v>6</v>
      </c>
      <c r="J42" s="92">
        <v>7</v>
      </c>
      <c r="K42" s="105">
        <v>8</v>
      </c>
      <c r="L42" s="105">
        <v>9</v>
      </c>
      <c r="M42" s="105">
        <v>10</v>
      </c>
      <c r="N42" s="105">
        <v>11</v>
      </c>
      <c r="O42" s="105">
        <v>12</v>
      </c>
      <c r="P42" s="105">
        <v>13</v>
      </c>
      <c r="Q42" s="105">
        <v>14</v>
      </c>
      <c r="R42" s="92">
        <v>15</v>
      </c>
      <c r="S42" s="92">
        <v>16</v>
      </c>
      <c r="T42" s="92">
        <v>17</v>
      </c>
      <c r="U42" s="92">
        <v>18</v>
      </c>
      <c r="V42" s="92">
        <v>19</v>
      </c>
      <c r="W42" s="92">
        <v>20</v>
      </c>
      <c r="X42" s="92">
        <v>21</v>
      </c>
      <c r="Y42" s="105">
        <v>22</v>
      </c>
      <c r="Z42" s="105">
        <v>23</v>
      </c>
      <c r="AA42" s="105">
        <v>24</v>
      </c>
      <c r="AB42" s="105">
        <v>25</v>
      </c>
      <c r="AC42" s="105">
        <v>26</v>
      </c>
      <c r="AD42" s="105">
        <v>27</v>
      </c>
      <c r="AE42" s="105">
        <v>28</v>
      </c>
      <c r="AF42" s="92">
        <v>29</v>
      </c>
      <c r="AG42" s="92">
        <v>30</v>
      </c>
      <c r="AH42" s="92">
        <v>31</v>
      </c>
      <c r="AJ42" s="115" t="s">
        <v>25</v>
      </c>
      <c r="AK42" s="115" t="s">
        <v>26</v>
      </c>
      <c r="AL42" s="115" t="s">
        <v>27</v>
      </c>
    </row>
    <row r="43" spans="3:38" ht="22.5" customHeight="1" x14ac:dyDescent="0.25">
      <c r="C43" s="102" t="s">
        <v>14</v>
      </c>
      <c r="D43" s="93" t="b">
        <v>0</v>
      </c>
      <c r="E43" s="94" t="b">
        <v>0</v>
      </c>
      <c r="F43" s="94" t="b">
        <v>0</v>
      </c>
      <c r="G43" s="94" t="b">
        <v>0</v>
      </c>
      <c r="H43" s="94" t="b">
        <v>0</v>
      </c>
      <c r="I43" s="94" t="b">
        <v>0</v>
      </c>
      <c r="J43" s="95" t="b">
        <v>0</v>
      </c>
      <c r="K43" s="106" t="b">
        <v>0</v>
      </c>
      <c r="L43" s="107" t="b">
        <v>0</v>
      </c>
      <c r="M43" s="107" t="b">
        <v>0</v>
      </c>
      <c r="N43" s="107" t="b">
        <v>0</v>
      </c>
      <c r="O43" s="107" t="b">
        <v>0</v>
      </c>
      <c r="P43" s="107" t="b">
        <v>0</v>
      </c>
      <c r="Q43" s="108" t="b">
        <v>0</v>
      </c>
      <c r="R43" s="93" t="b">
        <v>0</v>
      </c>
      <c r="S43" s="94" t="b">
        <v>0</v>
      </c>
      <c r="T43" s="94" t="b">
        <v>0</v>
      </c>
      <c r="U43" s="94" t="b">
        <v>0</v>
      </c>
      <c r="V43" s="94" t="b">
        <v>0</v>
      </c>
      <c r="W43" s="94" t="b">
        <v>0</v>
      </c>
      <c r="X43" s="95" t="b">
        <v>0</v>
      </c>
      <c r="Y43" s="106" t="b">
        <v>0</v>
      </c>
      <c r="Z43" s="107" t="b">
        <v>0</v>
      </c>
      <c r="AA43" s="107" t="b">
        <v>0</v>
      </c>
      <c r="AB43" s="107" t="b">
        <v>0</v>
      </c>
      <c r="AC43" s="107" t="b">
        <v>0</v>
      </c>
      <c r="AD43" s="107" t="b">
        <v>0</v>
      </c>
      <c r="AE43" s="108" t="b">
        <v>0</v>
      </c>
      <c r="AF43" s="93" t="b">
        <v>0</v>
      </c>
      <c r="AG43" s="94" t="b">
        <v>0</v>
      </c>
      <c r="AH43" s="95" t="b">
        <v>0</v>
      </c>
      <c r="AJ43" s="23">
        <f>COUNTA(D43:AH43)</f>
        <v>31</v>
      </c>
      <c r="AK43" s="23">
        <f>COUNTIF(D43:AH43, TRUE)</f>
        <v>0</v>
      </c>
      <c r="AL43" s="24">
        <f>AK43/AJ43</f>
        <v>0</v>
      </c>
    </row>
    <row r="44" spans="3:38" ht="22.5" customHeight="1" x14ac:dyDescent="0.25">
      <c r="C44" s="103" t="s">
        <v>15</v>
      </c>
      <c r="D44" s="96" t="b">
        <v>0</v>
      </c>
      <c r="E44" s="97" t="b">
        <v>0</v>
      </c>
      <c r="F44" s="97" t="b">
        <v>0</v>
      </c>
      <c r="G44" s="97" t="b">
        <v>0</v>
      </c>
      <c r="H44" s="97" t="b">
        <v>0</v>
      </c>
      <c r="I44" s="97" t="b">
        <v>0</v>
      </c>
      <c r="J44" s="98" t="b">
        <v>0</v>
      </c>
      <c r="K44" s="109" t="b">
        <v>0</v>
      </c>
      <c r="L44" s="110" t="b">
        <v>0</v>
      </c>
      <c r="M44" s="110" t="b">
        <v>0</v>
      </c>
      <c r="N44" s="110" t="b">
        <v>0</v>
      </c>
      <c r="O44" s="110" t="b">
        <v>0</v>
      </c>
      <c r="P44" s="110" t="b">
        <v>0</v>
      </c>
      <c r="Q44" s="111" t="b">
        <v>0</v>
      </c>
      <c r="R44" s="96" t="b">
        <v>0</v>
      </c>
      <c r="S44" s="97" t="b">
        <v>0</v>
      </c>
      <c r="T44" s="97" t="b">
        <v>0</v>
      </c>
      <c r="U44" s="97" t="b">
        <v>0</v>
      </c>
      <c r="V44" s="97" t="b">
        <v>0</v>
      </c>
      <c r="W44" s="97" t="b">
        <v>0</v>
      </c>
      <c r="X44" s="98" t="b">
        <v>0</v>
      </c>
      <c r="Y44" s="109" t="b">
        <v>0</v>
      </c>
      <c r="Z44" s="110" t="b">
        <v>0</v>
      </c>
      <c r="AA44" s="110" t="b">
        <v>0</v>
      </c>
      <c r="AB44" s="110" t="b">
        <v>0</v>
      </c>
      <c r="AC44" s="110" t="b">
        <v>0</v>
      </c>
      <c r="AD44" s="110" t="b">
        <v>0</v>
      </c>
      <c r="AE44" s="111" t="b">
        <v>0</v>
      </c>
      <c r="AF44" s="96" t="b">
        <v>0</v>
      </c>
      <c r="AG44" s="97" t="b">
        <v>0</v>
      </c>
      <c r="AH44" s="98" t="b">
        <v>0</v>
      </c>
      <c r="AJ44" s="23">
        <f t="shared" ref="AJ44:AJ49" si="34">COUNTA(D44:AH44)</f>
        <v>31</v>
      </c>
      <c r="AK44" s="23">
        <f t="shared" ref="AK44:AK49" si="35">COUNTIF(D44:AH44, TRUE)</f>
        <v>0</v>
      </c>
      <c r="AL44" s="24">
        <f t="shared" ref="AL44:AL49" si="36">AK44/AJ44</f>
        <v>0</v>
      </c>
    </row>
    <row r="45" spans="3:38" ht="22.5" customHeight="1" x14ac:dyDescent="0.25">
      <c r="C45" s="103" t="s">
        <v>16</v>
      </c>
      <c r="D45" s="96" t="b">
        <v>0</v>
      </c>
      <c r="E45" s="97" t="b">
        <v>0</v>
      </c>
      <c r="F45" s="97" t="b">
        <v>0</v>
      </c>
      <c r="G45" s="97" t="b">
        <v>0</v>
      </c>
      <c r="H45" s="97" t="b">
        <v>0</v>
      </c>
      <c r="I45" s="97" t="b">
        <v>0</v>
      </c>
      <c r="J45" s="98" t="b">
        <v>0</v>
      </c>
      <c r="K45" s="109" t="b">
        <v>0</v>
      </c>
      <c r="L45" s="110" t="b">
        <v>0</v>
      </c>
      <c r="M45" s="110" t="b">
        <v>0</v>
      </c>
      <c r="N45" s="110" t="b">
        <v>0</v>
      </c>
      <c r="O45" s="110" t="b">
        <v>0</v>
      </c>
      <c r="P45" s="110" t="b">
        <v>0</v>
      </c>
      <c r="Q45" s="111" t="b">
        <v>0</v>
      </c>
      <c r="R45" s="96" t="b">
        <v>0</v>
      </c>
      <c r="S45" s="97" t="b">
        <v>0</v>
      </c>
      <c r="T45" s="97" t="b">
        <v>0</v>
      </c>
      <c r="U45" s="97" t="b">
        <v>0</v>
      </c>
      <c r="V45" s="97" t="b">
        <v>0</v>
      </c>
      <c r="W45" s="97" t="b">
        <v>0</v>
      </c>
      <c r="X45" s="98" t="b">
        <v>0</v>
      </c>
      <c r="Y45" s="109" t="b">
        <v>0</v>
      </c>
      <c r="Z45" s="110" t="b">
        <v>0</v>
      </c>
      <c r="AA45" s="110" t="b">
        <v>0</v>
      </c>
      <c r="AB45" s="110" t="b">
        <v>0</v>
      </c>
      <c r="AC45" s="110" t="b">
        <v>0</v>
      </c>
      <c r="AD45" s="110" t="b">
        <v>0</v>
      </c>
      <c r="AE45" s="111" t="b">
        <v>0</v>
      </c>
      <c r="AF45" s="96" t="b">
        <v>0</v>
      </c>
      <c r="AG45" s="97" t="b">
        <v>0</v>
      </c>
      <c r="AH45" s="98" t="b">
        <v>0</v>
      </c>
      <c r="AJ45" s="23">
        <f t="shared" si="34"/>
        <v>31</v>
      </c>
      <c r="AK45" s="23">
        <f>COUNTIF(D45:AH45, TRUE)</f>
        <v>0</v>
      </c>
      <c r="AL45" s="24">
        <f t="shared" si="36"/>
        <v>0</v>
      </c>
    </row>
    <row r="46" spans="3:38" ht="22.5" customHeight="1" x14ac:dyDescent="0.25">
      <c r="C46" s="103" t="s">
        <v>17</v>
      </c>
      <c r="D46" s="96" t="b">
        <v>0</v>
      </c>
      <c r="E46" s="97" t="b">
        <v>0</v>
      </c>
      <c r="F46" s="97" t="b">
        <v>0</v>
      </c>
      <c r="G46" s="97" t="b">
        <v>0</v>
      </c>
      <c r="H46" s="97" t="b">
        <v>0</v>
      </c>
      <c r="I46" s="97" t="b">
        <v>0</v>
      </c>
      <c r="J46" s="98" t="b">
        <v>0</v>
      </c>
      <c r="K46" s="109" t="b">
        <v>0</v>
      </c>
      <c r="L46" s="110" t="b">
        <v>0</v>
      </c>
      <c r="M46" s="110" t="b">
        <v>0</v>
      </c>
      <c r="N46" s="110" t="b">
        <v>0</v>
      </c>
      <c r="O46" s="110" t="b">
        <v>0</v>
      </c>
      <c r="P46" s="110" t="b">
        <v>0</v>
      </c>
      <c r="Q46" s="111" t="b">
        <v>0</v>
      </c>
      <c r="R46" s="96" t="b">
        <v>0</v>
      </c>
      <c r="S46" s="97" t="b">
        <v>0</v>
      </c>
      <c r="T46" s="97" t="b">
        <v>0</v>
      </c>
      <c r="U46" s="97" t="b">
        <v>0</v>
      </c>
      <c r="V46" s="97" t="b">
        <v>0</v>
      </c>
      <c r="W46" s="97" t="b">
        <v>0</v>
      </c>
      <c r="X46" s="98" t="b">
        <v>0</v>
      </c>
      <c r="Y46" s="109" t="b">
        <v>0</v>
      </c>
      <c r="Z46" s="110" t="b">
        <v>0</v>
      </c>
      <c r="AA46" s="110" t="b">
        <v>0</v>
      </c>
      <c r="AB46" s="110" t="b">
        <v>0</v>
      </c>
      <c r="AC46" s="110" t="b">
        <v>0</v>
      </c>
      <c r="AD46" s="110" t="b">
        <v>0</v>
      </c>
      <c r="AE46" s="111" t="b">
        <v>0</v>
      </c>
      <c r="AF46" s="96" t="b">
        <v>0</v>
      </c>
      <c r="AG46" s="97" t="b">
        <v>0</v>
      </c>
      <c r="AH46" s="98" t="b">
        <v>0</v>
      </c>
      <c r="AJ46" s="23">
        <f t="shared" si="34"/>
        <v>31</v>
      </c>
      <c r="AK46" s="23">
        <f t="shared" si="35"/>
        <v>0</v>
      </c>
      <c r="AL46" s="24">
        <f t="shared" si="36"/>
        <v>0</v>
      </c>
    </row>
    <row r="47" spans="3:38" ht="22.5" customHeight="1" x14ac:dyDescent="0.25">
      <c r="C47" s="103" t="s">
        <v>19</v>
      </c>
      <c r="D47" s="96" t="b">
        <v>0</v>
      </c>
      <c r="E47" s="97" t="b">
        <v>0</v>
      </c>
      <c r="F47" s="97" t="b">
        <v>0</v>
      </c>
      <c r="G47" s="97" t="b">
        <v>0</v>
      </c>
      <c r="H47" s="97" t="b">
        <v>0</v>
      </c>
      <c r="I47" s="97" t="b">
        <v>0</v>
      </c>
      <c r="J47" s="98" t="b">
        <v>0</v>
      </c>
      <c r="K47" s="109" t="b">
        <v>0</v>
      </c>
      <c r="L47" s="110" t="b">
        <v>0</v>
      </c>
      <c r="M47" s="110" t="b">
        <v>0</v>
      </c>
      <c r="N47" s="110" t="b">
        <v>0</v>
      </c>
      <c r="O47" s="110" t="b">
        <v>0</v>
      </c>
      <c r="P47" s="110" t="b">
        <v>0</v>
      </c>
      <c r="Q47" s="111" t="b">
        <v>0</v>
      </c>
      <c r="R47" s="96" t="b">
        <v>0</v>
      </c>
      <c r="S47" s="97" t="b">
        <v>0</v>
      </c>
      <c r="T47" s="97" t="b">
        <v>0</v>
      </c>
      <c r="U47" s="97" t="b">
        <v>0</v>
      </c>
      <c r="V47" s="97" t="b">
        <v>0</v>
      </c>
      <c r="W47" s="97" t="b">
        <v>0</v>
      </c>
      <c r="X47" s="98" t="b">
        <v>0</v>
      </c>
      <c r="Y47" s="109" t="b">
        <v>0</v>
      </c>
      <c r="Z47" s="110" t="b">
        <v>0</v>
      </c>
      <c r="AA47" s="110" t="b">
        <v>0</v>
      </c>
      <c r="AB47" s="110" t="b">
        <v>0</v>
      </c>
      <c r="AC47" s="110" t="b">
        <v>0</v>
      </c>
      <c r="AD47" s="110" t="b">
        <v>0</v>
      </c>
      <c r="AE47" s="111" t="b">
        <v>0</v>
      </c>
      <c r="AF47" s="96" t="b">
        <v>0</v>
      </c>
      <c r="AG47" s="97" t="b">
        <v>0</v>
      </c>
      <c r="AH47" s="98" t="b">
        <v>0</v>
      </c>
      <c r="AJ47" s="23">
        <f t="shared" si="34"/>
        <v>31</v>
      </c>
      <c r="AK47" s="23">
        <f t="shared" si="35"/>
        <v>0</v>
      </c>
      <c r="AL47" s="24">
        <f t="shared" si="36"/>
        <v>0</v>
      </c>
    </row>
    <row r="48" spans="3:38" ht="22.5" customHeight="1" x14ac:dyDescent="0.25">
      <c r="C48" s="103" t="s">
        <v>20</v>
      </c>
      <c r="D48" s="96" t="b">
        <v>0</v>
      </c>
      <c r="E48" s="97" t="b">
        <v>0</v>
      </c>
      <c r="F48" s="97" t="b">
        <v>0</v>
      </c>
      <c r="G48" s="97" t="b">
        <v>0</v>
      </c>
      <c r="H48" s="97" t="b">
        <v>0</v>
      </c>
      <c r="I48" s="97" t="b">
        <v>0</v>
      </c>
      <c r="J48" s="98" t="b">
        <v>0</v>
      </c>
      <c r="K48" s="109" t="b">
        <v>0</v>
      </c>
      <c r="L48" s="110" t="b">
        <v>0</v>
      </c>
      <c r="M48" s="110" t="b">
        <v>0</v>
      </c>
      <c r="N48" s="110" t="b">
        <v>0</v>
      </c>
      <c r="O48" s="110" t="b">
        <v>0</v>
      </c>
      <c r="P48" s="110" t="b">
        <v>0</v>
      </c>
      <c r="Q48" s="111" t="b">
        <v>0</v>
      </c>
      <c r="R48" s="96" t="b">
        <v>0</v>
      </c>
      <c r="S48" s="97" t="b">
        <v>0</v>
      </c>
      <c r="T48" s="97" t="b">
        <v>0</v>
      </c>
      <c r="U48" s="97" t="b">
        <v>0</v>
      </c>
      <c r="V48" s="97" t="b">
        <v>0</v>
      </c>
      <c r="W48" s="97" t="b">
        <v>0</v>
      </c>
      <c r="X48" s="98" t="b">
        <v>0</v>
      </c>
      <c r="Y48" s="109" t="b">
        <v>0</v>
      </c>
      <c r="Z48" s="110" t="b">
        <v>0</v>
      </c>
      <c r="AA48" s="110" t="b">
        <v>0</v>
      </c>
      <c r="AB48" s="110" t="b">
        <v>0</v>
      </c>
      <c r="AC48" s="110" t="b">
        <v>0</v>
      </c>
      <c r="AD48" s="110" t="b">
        <v>0</v>
      </c>
      <c r="AE48" s="111" t="b">
        <v>0</v>
      </c>
      <c r="AF48" s="96" t="b">
        <v>0</v>
      </c>
      <c r="AG48" s="97" t="b">
        <v>0</v>
      </c>
      <c r="AH48" s="98" t="b">
        <v>0</v>
      </c>
      <c r="AJ48" s="23">
        <f t="shared" si="34"/>
        <v>31</v>
      </c>
      <c r="AK48" s="23">
        <f t="shared" si="35"/>
        <v>0</v>
      </c>
      <c r="AL48" s="24">
        <f t="shared" si="36"/>
        <v>0</v>
      </c>
    </row>
    <row r="49" spans="3:38" ht="22.5" customHeight="1" x14ac:dyDescent="0.25">
      <c r="C49" s="104" t="s">
        <v>18</v>
      </c>
      <c r="D49" s="99" t="b">
        <v>0</v>
      </c>
      <c r="E49" s="100" t="b">
        <v>0</v>
      </c>
      <c r="F49" s="100" t="b">
        <v>0</v>
      </c>
      <c r="G49" s="100" t="b">
        <v>0</v>
      </c>
      <c r="H49" s="100" t="b">
        <v>0</v>
      </c>
      <c r="I49" s="100" t="b">
        <v>0</v>
      </c>
      <c r="J49" s="101" t="b">
        <v>0</v>
      </c>
      <c r="K49" s="112" t="b">
        <v>0</v>
      </c>
      <c r="L49" s="113" t="b">
        <v>0</v>
      </c>
      <c r="M49" s="113" t="b">
        <v>0</v>
      </c>
      <c r="N49" s="113" t="b">
        <v>0</v>
      </c>
      <c r="O49" s="113" t="b">
        <v>0</v>
      </c>
      <c r="P49" s="113" t="b">
        <v>0</v>
      </c>
      <c r="Q49" s="114" t="b">
        <v>0</v>
      </c>
      <c r="R49" s="99" t="b">
        <v>0</v>
      </c>
      <c r="S49" s="100" t="b">
        <v>0</v>
      </c>
      <c r="T49" s="100" t="b">
        <v>0</v>
      </c>
      <c r="U49" s="100" t="b">
        <v>0</v>
      </c>
      <c r="V49" s="100" t="b">
        <v>0</v>
      </c>
      <c r="W49" s="100" t="b">
        <v>0</v>
      </c>
      <c r="X49" s="101" t="b">
        <v>0</v>
      </c>
      <c r="Y49" s="112" t="b">
        <v>0</v>
      </c>
      <c r="Z49" s="113" t="b">
        <v>0</v>
      </c>
      <c r="AA49" s="113" t="b">
        <v>0</v>
      </c>
      <c r="AB49" s="113" t="b">
        <v>0</v>
      </c>
      <c r="AC49" s="113" t="b">
        <v>0</v>
      </c>
      <c r="AD49" s="113" t="b">
        <v>0</v>
      </c>
      <c r="AE49" s="114" t="b">
        <v>0</v>
      </c>
      <c r="AF49" s="99" t="b">
        <v>0</v>
      </c>
      <c r="AG49" s="100" t="b">
        <v>0</v>
      </c>
      <c r="AH49" s="101" t="b">
        <v>0</v>
      </c>
      <c r="AJ49" s="23">
        <f t="shared" si="34"/>
        <v>31</v>
      </c>
      <c r="AK49" s="23">
        <f t="shared" si="35"/>
        <v>0</v>
      </c>
      <c r="AL49" s="24">
        <f t="shared" si="36"/>
        <v>0</v>
      </c>
    </row>
    <row r="50" spans="3:38" ht="22.5" customHeight="1" x14ac:dyDescent="0.25">
      <c r="D50">
        <f>COUNTIF(D43:D49, TRUE)</f>
        <v>0</v>
      </c>
      <c r="E50">
        <f t="shared" ref="E50:AH50" si="37">COUNTIF(E43:E49, TRUE)</f>
        <v>0</v>
      </c>
      <c r="F50">
        <f t="shared" si="37"/>
        <v>0</v>
      </c>
      <c r="G50">
        <f t="shared" si="37"/>
        <v>0</v>
      </c>
      <c r="H50">
        <f t="shared" si="37"/>
        <v>0</v>
      </c>
      <c r="I50">
        <f t="shared" si="37"/>
        <v>0</v>
      </c>
      <c r="J50">
        <f t="shared" si="37"/>
        <v>0</v>
      </c>
      <c r="K50">
        <f t="shared" si="37"/>
        <v>0</v>
      </c>
      <c r="L50">
        <f t="shared" si="37"/>
        <v>0</v>
      </c>
      <c r="M50">
        <f t="shared" si="37"/>
        <v>0</v>
      </c>
      <c r="N50">
        <f t="shared" si="37"/>
        <v>0</v>
      </c>
      <c r="O50">
        <f t="shared" si="37"/>
        <v>0</v>
      </c>
      <c r="P50">
        <f t="shared" si="37"/>
        <v>0</v>
      </c>
      <c r="Q50">
        <f t="shared" si="37"/>
        <v>0</v>
      </c>
      <c r="R50">
        <f t="shared" si="37"/>
        <v>0</v>
      </c>
      <c r="S50">
        <f t="shared" si="37"/>
        <v>0</v>
      </c>
      <c r="T50">
        <f t="shared" si="37"/>
        <v>0</v>
      </c>
      <c r="U50">
        <f t="shared" si="37"/>
        <v>0</v>
      </c>
      <c r="V50">
        <f t="shared" si="37"/>
        <v>0</v>
      </c>
      <c r="W50">
        <f t="shared" si="37"/>
        <v>0</v>
      </c>
      <c r="X50">
        <f t="shared" si="37"/>
        <v>0</v>
      </c>
      <c r="Y50">
        <f t="shared" si="37"/>
        <v>0</v>
      </c>
      <c r="Z50">
        <f t="shared" si="37"/>
        <v>0</v>
      </c>
      <c r="AA50">
        <f t="shared" si="37"/>
        <v>0</v>
      </c>
      <c r="AB50">
        <f t="shared" si="37"/>
        <v>0</v>
      </c>
      <c r="AC50">
        <f t="shared" si="37"/>
        <v>0</v>
      </c>
      <c r="AD50">
        <f t="shared" si="37"/>
        <v>0</v>
      </c>
      <c r="AE50">
        <f t="shared" si="37"/>
        <v>0</v>
      </c>
      <c r="AF50">
        <f t="shared" si="37"/>
        <v>0</v>
      </c>
      <c r="AG50">
        <f t="shared" si="37"/>
        <v>0</v>
      </c>
      <c r="AH50">
        <f t="shared" si="37"/>
        <v>0</v>
      </c>
    </row>
    <row r="54" spans="3:38" ht="22.5" customHeight="1" x14ac:dyDescent="0.25">
      <c r="C54" s="118"/>
      <c r="D54" s="445" t="s">
        <v>45</v>
      </c>
      <c r="E54" s="445"/>
      <c r="F54" s="445"/>
      <c r="G54" s="445"/>
      <c r="H54" s="445"/>
      <c r="I54" s="445"/>
      <c r="J54" s="445"/>
      <c r="K54" s="119"/>
      <c r="L54" s="119"/>
      <c r="M54" s="119"/>
      <c r="N54" s="120" t="s">
        <v>21</v>
      </c>
      <c r="O54" s="119"/>
      <c r="P54" s="119"/>
      <c r="Q54" s="119"/>
      <c r="R54" s="119"/>
      <c r="S54" s="120" t="s">
        <v>23</v>
      </c>
      <c r="T54" s="119"/>
      <c r="U54" s="121"/>
      <c r="V54" s="119"/>
      <c r="W54" s="119"/>
      <c r="X54" s="120" t="s">
        <v>27</v>
      </c>
      <c r="Y54" s="119"/>
      <c r="Z54" s="119"/>
      <c r="AA54" s="119"/>
      <c r="AB54" s="120" t="s">
        <v>28</v>
      </c>
      <c r="AC54" s="119"/>
      <c r="AD54" s="119"/>
      <c r="AE54" s="119"/>
      <c r="AF54" s="119"/>
      <c r="AG54" s="119"/>
    </row>
    <row r="55" spans="3:38" ht="22.5" customHeight="1" x14ac:dyDescent="0.25">
      <c r="C55" s="122"/>
      <c r="D55" s="446"/>
      <c r="E55" s="446"/>
      <c r="F55" s="446"/>
      <c r="G55" s="446"/>
      <c r="H55" s="446"/>
      <c r="I55" s="446"/>
      <c r="J55" s="446"/>
      <c r="K55" s="123"/>
      <c r="L55" s="123"/>
      <c r="M55" s="123"/>
      <c r="N55" s="124">
        <f>COUNTA(C60:C66)</f>
        <v>7</v>
      </c>
      <c r="O55" s="123"/>
      <c r="P55" s="123"/>
      <c r="Q55" s="123"/>
      <c r="R55" s="123"/>
      <c r="S55" s="124">
        <f>COUNTIF(D60:AG66,TRUE)</f>
        <v>0</v>
      </c>
      <c r="T55" s="123"/>
      <c r="U55" s="125"/>
      <c r="V55" s="123"/>
      <c r="W55" s="447">
        <f>COUNTIF(D60:AG66, TRUE)/(COUNTA(D59:AG59)*COUNTA(C60:C66))</f>
        <v>0</v>
      </c>
      <c r="X55" s="447"/>
      <c r="Y55" s="447"/>
      <c r="Z55" s="123"/>
      <c r="AA55" s="123"/>
      <c r="AB55" s="126">
        <f>COUNTIF(D60:AG66, TRUE)/(COUNTA(D59:AG59)*COUNTA(C60:C66))</f>
        <v>0</v>
      </c>
      <c r="AC55" s="123"/>
      <c r="AD55" s="123"/>
      <c r="AE55" s="123"/>
      <c r="AF55" s="123"/>
      <c r="AG55" s="123"/>
    </row>
    <row r="57" spans="3:38" ht="22.5" customHeight="1" x14ac:dyDescent="0.25">
      <c r="C57" s="448" t="s">
        <v>1</v>
      </c>
      <c r="D57" s="451" t="s">
        <v>9</v>
      </c>
      <c r="E57" s="452"/>
      <c r="F57" s="452"/>
      <c r="G57" s="452"/>
      <c r="H57" s="452"/>
      <c r="I57" s="452"/>
      <c r="J57" s="453"/>
      <c r="K57" s="454" t="s">
        <v>10</v>
      </c>
      <c r="L57" s="455"/>
      <c r="M57" s="455"/>
      <c r="N57" s="455"/>
      <c r="O57" s="455"/>
      <c r="P57" s="455"/>
      <c r="Q57" s="456"/>
      <c r="R57" s="451" t="s">
        <v>11</v>
      </c>
      <c r="S57" s="452"/>
      <c r="T57" s="452"/>
      <c r="U57" s="452"/>
      <c r="V57" s="452"/>
      <c r="W57" s="452"/>
      <c r="X57" s="453"/>
      <c r="Y57" s="454" t="s">
        <v>12</v>
      </c>
      <c r="Z57" s="455"/>
      <c r="AA57" s="455"/>
      <c r="AB57" s="455"/>
      <c r="AC57" s="455"/>
      <c r="AD57" s="455"/>
      <c r="AE57" s="456"/>
      <c r="AF57" s="451" t="s">
        <v>13</v>
      </c>
      <c r="AG57" s="453"/>
      <c r="AI57" s="463" t="s">
        <v>24</v>
      </c>
      <c r="AJ57" s="464"/>
      <c r="AK57" s="465"/>
    </row>
    <row r="58" spans="3:38" ht="22.5" customHeight="1" x14ac:dyDescent="0.25">
      <c r="C58" s="449"/>
      <c r="D58" s="130" t="s">
        <v>44</v>
      </c>
      <c r="E58" s="130" t="s">
        <v>7</v>
      </c>
      <c r="F58" s="130" t="s">
        <v>8</v>
      </c>
      <c r="G58" s="130" t="s">
        <v>2</v>
      </c>
      <c r="H58" s="130" t="s">
        <v>3</v>
      </c>
      <c r="I58" s="130" t="s">
        <v>4</v>
      </c>
      <c r="J58" s="130" t="s">
        <v>5</v>
      </c>
      <c r="K58" s="140" t="s">
        <v>44</v>
      </c>
      <c r="L58" s="140" t="s">
        <v>7</v>
      </c>
      <c r="M58" s="140" t="s">
        <v>8</v>
      </c>
      <c r="N58" s="140" t="s">
        <v>2</v>
      </c>
      <c r="O58" s="140" t="s">
        <v>3</v>
      </c>
      <c r="P58" s="140" t="s">
        <v>4</v>
      </c>
      <c r="Q58" s="140" t="s">
        <v>5</v>
      </c>
      <c r="R58" s="130" t="s">
        <v>44</v>
      </c>
      <c r="S58" s="130" t="s">
        <v>7</v>
      </c>
      <c r="T58" s="130" t="s">
        <v>8</v>
      </c>
      <c r="U58" s="130" t="s">
        <v>2</v>
      </c>
      <c r="V58" s="130" t="s">
        <v>3</v>
      </c>
      <c r="W58" s="130" t="s">
        <v>4</v>
      </c>
      <c r="X58" s="130" t="s">
        <v>5</v>
      </c>
      <c r="Y58" s="140" t="s">
        <v>44</v>
      </c>
      <c r="Z58" s="140" t="s">
        <v>7</v>
      </c>
      <c r="AA58" s="140" t="s">
        <v>8</v>
      </c>
      <c r="AB58" s="140" t="s">
        <v>2</v>
      </c>
      <c r="AC58" s="140" t="s">
        <v>3</v>
      </c>
      <c r="AD58" s="140" t="s">
        <v>4</v>
      </c>
      <c r="AE58" s="140" t="s">
        <v>5</v>
      </c>
      <c r="AF58" s="130" t="s">
        <v>44</v>
      </c>
      <c r="AG58" s="130" t="s">
        <v>7</v>
      </c>
      <c r="AI58" s="466"/>
      <c r="AJ58" s="467"/>
      <c r="AK58" s="468"/>
    </row>
    <row r="59" spans="3:38" ht="22.5" customHeight="1" x14ac:dyDescent="0.25">
      <c r="C59" s="450"/>
      <c r="D59" s="130">
        <v>1</v>
      </c>
      <c r="E59" s="130">
        <v>2</v>
      </c>
      <c r="F59" s="130">
        <v>3</v>
      </c>
      <c r="G59" s="130">
        <v>4</v>
      </c>
      <c r="H59" s="130">
        <v>5</v>
      </c>
      <c r="I59" s="130">
        <v>6</v>
      </c>
      <c r="J59" s="130">
        <v>7</v>
      </c>
      <c r="K59" s="140">
        <v>8</v>
      </c>
      <c r="L59" s="140">
        <v>9</v>
      </c>
      <c r="M59" s="140">
        <v>10</v>
      </c>
      <c r="N59" s="140">
        <v>11</v>
      </c>
      <c r="O59" s="140">
        <v>12</v>
      </c>
      <c r="P59" s="140">
        <v>13</v>
      </c>
      <c r="Q59" s="140">
        <v>14</v>
      </c>
      <c r="R59" s="130">
        <v>15</v>
      </c>
      <c r="S59" s="130">
        <v>16</v>
      </c>
      <c r="T59" s="130">
        <v>17</v>
      </c>
      <c r="U59" s="130">
        <v>18</v>
      </c>
      <c r="V59" s="130">
        <v>19</v>
      </c>
      <c r="W59" s="130">
        <v>20</v>
      </c>
      <c r="X59" s="130">
        <v>21</v>
      </c>
      <c r="Y59" s="140">
        <v>22</v>
      </c>
      <c r="Z59" s="140">
        <v>23</v>
      </c>
      <c r="AA59" s="140">
        <v>24</v>
      </c>
      <c r="AB59" s="140">
        <v>25</v>
      </c>
      <c r="AC59" s="140">
        <v>26</v>
      </c>
      <c r="AD59" s="140">
        <v>27</v>
      </c>
      <c r="AE59" s="140">
        <v>28</v>
      </c>
      <c r="AF59" s="130">
        <v>29</v>
      </c>
      <c r="AG59" s="130">
        <v>30</v>
      </c>
      <c r="AI59" s="150" t="s">
        <v>25</v>
      </c>
      <c r="AJ59" s="150" t="s">
        <v>26</v>
      </c>
      <c r="AK59" s="150" t="s">
        <v>27</v>
      </c>
    </row>
    <row r="60" spans="3:38" ht="22.5" customHeight="1" x14ac:dyDescent="0.25">
      <c r="C60" s="127" t="s">
        <v>14</v>
      </c>
      <c r="D60" s="131" t="b">
        <v>0</v>
      </c>
      <c r="E60" s="132" t="b">
        <v>0</v>
      </c>
      <c r="F60" s="132" t="b">
        <v>0</v>
      </c>
      <c r="G60" s="132" t="b">
        <v>0</v>
      </c>
      <c r="H60" s="132" t="b">
        <v>0</v>
      </c>
      <c r="I60" s="132" t="b">
        <v>0</v>
      </c>
      <c r="J60" s="133" t="b">
        <v>0</v>
      </c>
      <c r="K60" s="141" t="b">
        <v>0</v>
      </c>
      <c r="L60" s="142" t="b">
        <v>0</v>
      </c>
      <c r="M60" s="142" t="b">
        <v>0</v>
      </c>
      <c r="N60" s="142" t="b">
        <v>0</v>
      </c>
      <c r="O60" s="142" t="b">
        <v>0</v>
      </c>
      <c r="P60" s="142" t="b">
        <v>0</v>
      </c>
      <c r="Q60" s="143" t="b">
        <v>0</v>
      </c>
      <c r="R60" s="131" t="b">
        <v>0</v>
      </c>
      <c r="S60" s="132" t="b">
        <v>0</v>
      </c>
      <c r="T60" s="132" t="b">
        <v>0</v>
      </c>
      <c r="U60" s="132" t="b">
        <v>0</v>
      </c>
      <c r="V60" s="132" t="b">
        <v>0</v>
      </c>
      <c r="W60" s="132" t="b">
        <v>0</v>
      </c>
      <c r="X60" s="133" t="b">
        <v>0</v>
      </c>
      <c r="Y60" s="141" t="b">
        <v>0</v>
      </c>
      <c r="Z60" s="142" t="b">
        <v>0</v>
      </c>
      <c r="AA60" s="142" t="b">
        <v>0</v>
      </c>
      <c r="AB60" s="142" t="b">
        <v>0</v>
      </c>
      <c r="AC60" s="142" t="b">
        <v>0</v>
      </c>
      <c r="AD60" s="142" t="b">
        <v>0</v>
      </c>
      <c r="AE60" s="143" t="b">
        <v>0</v>
      </c>
      <c r="AF60" s="131" t="b">
        <v>0</v>
      </c>
      <c r="AG60" s="133" t="b">
        <v>0</v>
      </c>
      <c r="AI60" s="23">
        <f>COUNTA(D60:AG60)</f>
        <v>30</v>
      </c>
      <c r="AJ60" s="23">
        <f t="shared" ref="AJ60:AJ66" si="38">COUNTIF(D60:AG60, TRUE)</f>
        <v>0</v>
      </c>
      <c r="AK60" s="24">
        <f>AJ60/AI60</f>
        <v>0</v>
      </c>
    </row>
    <row r="61" spans="3:38" ht="22.5" customHeight="1" x14ac:dyDescent="0.25">
      <c r="C61" s="128" t="s">
        <v>15</v>
      </c>
      <c r="D61" s="134" t="b">
        <v>0</v>
      </c>
      <c r="E61" s="135" t="b">
        <v>0</v>
      </c>
      <c r="F61" s="135" t="b">
        <v>0</v>
      </c>
      <c r="G61" s="135" t="b">
        <v>0</v>
      </c>
      <c r="H61" s="135" t="b">
        <v>0</v>
      </c>
      <c r="I61" s="135" t="b">
        <v>0</v>
      </c>
      <c r="J61" s="136" t="b">
        <v>0</v>
      </c>
      <c r="K61" s="144" t="b">
        <v>0</v>
      </c>
      <c r="L61" s="145" t="b">
        <v>0</v>
      </c>
      <c r="M61" s="145" t="b">
        <v>0</v>
      </c>
      <c r="N61" s="145" t="b">
        <v>0</v>
      </c>
      <c r="O61" s="145" t="b">
        <v>0</v>
      </c>
      <c r="P61" s="145" t="b">
        <v>0</v>
      </c>
      <c r="Q61" s="146" t="b">
        <v>0</v>
      </c>
      <c r="R61" s="134" t="b">
        <v>0</v>
      </c>
      <c r="S61" s="135" t="b">
        <v>0</v>
      </c>
      <c r="T61" s="135" t="b">
        <v>0</v>
      </c>
      <c r="U61" s="135" t="b">
        <v>0</v>
      </c>
      <c r="V61" s="135" t="b">
        <v>0</v>
      </c>
      <c r="W61" s="135" t="b">
        <v>0</v>
      </c>
      <c r="X61" s="136" t="b">
        <v>0</v>
      </c>
      <c r="Y61" s="144" t="b">
        <v>0</v>
      </c>
      <c r="Z61" s="145" t="b">
        <v>0</v>
      </c>
      <c r="AA61" s="145" t="b">
        <v>0</v>
      </c>
      <c r="AB61" s="145" t="b">
        <v>0</v>
      </c>
      <c r="AC61" s="145" t="b">
        <v>0</v>
      </c>
      <c r="AD61" s="145" t="b">
        <v>0</v>
      </c>
      <c r="AE61" s="146" t="b">
        <v>0</v>
      </c>
      <c r="AF61" s="134" t="b">
        <v>0</v>
      </c>
      <c r="AG61" s="136" t="b">
        <v>0</v>
      </c>
      <c r="AI61" s="23">
        <f>COUNTA(D61:AG61)</f>
        <v>30</v>
      </c>
      <c r="AJ61" s="23">
        <f t="shared" si="38"/>
        <v>0</v>
      </c>
      <c r="AK61" s="24">
        <f t="shared" ref="AK61:AK66" si="39">AJ61/AI61</f>
        <v>0</v>
      </c>
    </row>
    <row r="62" spans="3:38" ht="22.5" customHeight="1" x14ac:dyDescent="0.25">
      <c r="C62" s="128" t="s">
        <v>16</v>
      </c>
      <c r="D62" s="134" t="b">
        <v>0</v>
      </c>
      <c r="E62" s="135" t="b">
        <v>0</v>
      </c>
      <c r="F62" s="135" t="b">
        <v>0</v>
      </c>
      <c r="G62" s="135" t="b">
        <v>0</v>
      </c>
      <c r="H62" s="135" t="b">
        <v>0</v>
      </c>
      <c r="I62" s="135" t="b">
        <v>0</v>
      </c>
      <c r="J62" s="136" t="b">
        <v>0</v>
      </c>
      <c r="K62" s="144" t="b">
        <v>0</v>
      </c>
      <c r="L62" s="145" t="b">
        <v>0</v>
      </c>
      <c r="M62" s="145" t="b">
        <v>0</v>
      </c>
      <c r="N62" s="145" t="b">
        <v>0</v>
      </c>
      <c r="O62" s="145" t="b">
        <v>0</v>
      </c>
      <c r="P62" s="145" t="b">
        <v>0</v>
      </c>
      <c r="Q62" s="146" t="b">
        <v>0</v>
      </c>
      <c r="R62" s="134" t="b">
        <v>0</v>
      </c>
      <c r="S62" s="135" t="b">
        <v>0</v>
      </c>
      <c r="T62" s="135" t="b">
        <v>0</v>
      </c>
      <c r="U62" s="135" t="b">
        <v>0</v>
      </c>
      <c r="V62" s="135" t="b">
        <v>0</v>
      </c>
      <c r="W62" s="135" t="b">
        <v>0</v>
      </c>
      <c r="X62" s="136" t="b">
        <v>0</v>
      </c>
      <c r="Y62" s="144" t="b">
        <v>0</v>
      </c>
      <c r="Z62" s="145" t="b">
        <v>0</v>
      </c>
      <c r="AA62" s="145" t="b">
        <v>0</v>
      </c>
      <c r="AB62" s="145" t="b">
        <v>0</v>
      </c>
      <c r="AC62" s="145" t="b">
        <v>0</v>
      </c>
      <c r="AD62" s="145" t="b">
        <v>0</v>
      </c>
      <c r="AE62" s="146" t="b">
        <v>0</v>
      </c>
      <c r="AF62" s="134" t="b">
        <v>0</v>
      </c>
      <c r="AG62" s="136" t="b">
        <v>0</v>
      </c>
      <c r="AI62" s="23">
        <f t="shared" ref="AI62:AI66" si="40">COUNTA(D62:AG62)</f>
        <v>30</v>
      </c>
      <c r="AJ62" s="23">
        <f t="shared" si="38"/>
        <v>0</v>
      </c>
      <c r="AK62" s="24">
        <f t="shared" si="39"/>
        <v>0</v>
      </c>
    </row>
    <row r="63" spans="3:38" ht="22.5" customHeight="1" x14ac:dyDescent="0.25">
      <c r="C63" s="128" t="s">
        <v>17</v>
      </c>
      <c r="D63" s="134" t="b">
        <v>0</v>
      </c>
      <c r="E63" s="135" t="b">
        <v>0</v>
      </c>
      <c r="F63" s="135" t="b">
        <v>0</v>
      </c>
      <c r="G63" s="135" t="b">
        <v>0</v>
      </c>
      <c r="H63" s="135" t="b">
        <v>0</v>
      </c>
      <c r="I63" s="135" t="b">
        <v>0</v>
      </c>
      <c r="J63" s="136" t="b">
        <v>0</v>
      </c>
      <c r="K63" s="144" t="b">
        <v>0</v>
      </c>
      <c r="L63" s="145" t="b">
        <v>0</v>
      </c>
      <c r="M63" s="145" t="b">
        <v>0</v>
      </c>
      <c r="N63" s="145" t="b">
        <v>0</v>
      </c>
      <c r="O63" s="145" t="b">
        <v>0</v>
      </c>
      <c r="P63" s="145" t="b">
        <v>0</v>
      </c>
      <c r="Q63" s="146" t="b">
        <v>0</v>
      </c>
      <c r="R63" s="134" t="b">
        <v>0</v>
      </c>
      <c r="S63" s="135" t="b">
        <v>0</v>
      </c>
      <c r="T63" s="135" t="b">
        <v>0</v>
      </c>
      <c r="U63" s="135" t="b">
        <v>0</v>
      </c>
      <c r="V63" s="135" t="b">
        <v>0</v>
      </c>
      <c r="W63" s="135" t="b">
        <v>0</v>
      </c>
      <c r="X63" s="136" t="b">
        <v>0</v>
      </c>
      <c r="Y63" s="144" t="b">
        <v>0</v>
      </c>
      <c r="Z63" s="145" t="b">
        <v>0</v>
      </c>
      <c r="AA63" s="145" t="b">
        <v>0</v>
      </c>
      <c r="AB63" s="145" t="b">
        <v>0</v>
      </c>
      <c r="AC63" s="145" t="b">
        <v>0</v>
      </c>
      <c r="AD63" s="145" t="b">
        <v>0</v>
      </c>
      <c r="AE63" s="146" t="b">
        <v>0</v>
      </c>
      <c r="AF63" s="134" t="b">
        <v>0</v>
      </c>
      <c r="AG63" s="136" t="b">
        <v>0</v>
      </c>
      <c r="AI63" s="23">
        <f t="shared" si="40"/>
        <v>30</v>
      </c>
      <c r="AJ63" s="23">
        <f t="shared" si="38"/>
        <v>0</v>
      </c>
      <c r="AK63" s="24">
        <f t="shared" si="39"/>
        <v>0</v>
      </c>
    </row>
    <row r="64" spans="3:38" ht="22.5" customHeight="1" x14ac:dyDescent="0.25">
      <c r="C64" s="128" t="s">
        <v>19</v>
      </c>
      <c r="D64" s="134" t="b">
        <v>0</v>
      </c>
      <c r="E64" s="135" t="b">
        <v>0</v>
      </c>
      <c r="F64" s="135" t="b">
        <v>0</v>
      </c>
      <c r="G64" s="135" t="b">
        <v>0</v>
      </c>
      <c r="H64" s="135" t="b">
        <v>0</v>
      </c>
      <c r="I64" s="135" t="b">
        <v>0</v>
      </c>
      <c r="J64" s="136" t="b">
        <v>0</v>
      </c>
      <c r="K64" s="144" t="b">
        <v>0</v>
      </c>
      <c r="L64" s="145" t="b">
        <v>0</v>
      </c>
      <c r="M64" s="145" t="b">
        <v>0</v>
      </c>
      <c r="N64" s="145" t="b">
        <v>0</v>
      </c>
      <c r="O64" s="145" t="b">
        <v>0</v>
      </c>
      <c r="P64" s="145" t="b">
        <v>0</v>
      </c>
      <c r="Q64" s="146" t="b">
        <v>0</v>
      </c>
      <c r="R64" s="134" t="b">
        <v>0</v>
      </c>
      <c r="S64" s="135" t="b">
        <v>0</v>
      </c>
      <c r="T64" s="135" t="b">
        <v>0</v>
      </c>
      <c r="U64" s="135" t="b">
        <v>0</v>
      </c>
      <c r="V64" s="135" t="b">
        <v>0</v>
      </c>
      <c r="W64" s="135" t="b">
        <v>0</v>
      </c>
      <c r="X64" s="136" t="b">
        <v>0</v>
      </c>
      <c r="Y64" s="144" t="b">
        <v>0</v>
      </c>
      <c r="Z64" s="145" t="b">
        <v>0</v>
      </c>
      <c r="AA64" s="145" t="b">
        <v>0</v>
      </c>
      <c r="AB64" s="145" t="b">
        <v>0</v>
      </c>
      <c r="AC64" s="145" t="b">
        <v>0</v>
      </c>
      <c r="AD64" s="145" t="b">
        <v>0</v>
      </c>
      <c r="AE64" s="146" t="b">
        <v>0</v>
      </c>
      <c r="AF64" s="134" t="b">
        <v>0</v>
      </c>
      <c r="AG64" s="136" t="b">
        <v>0</v>
      </c>
      <c r="AI64" s="23">
        <f t="shared" si="40"/>
        <v>30</v>
      </c>
      <c r="AJ64" s="23">
        <f t="shared" si="38"/>
        <v>0</v>
      </c>
      <c r="AK64" s="24">
        <f t="shared" si="39"/>
        <v>0</v>
      </c>
    </row>
    <row r="65" spans="3:38" ht="22.5" customHeight="1" x14ac:dyDescent="0.25">
      <c r="C65" s="128" t="s">
        <v>20</v>
      </c>
      <c r="D65" s="134" t="b">
        <v>0</v>
      </c>
      <c r="E65" s="135" t="b">
        <v>0</v>
      </c>
      <c r="F65" s="135" t="b">
        <v>0</v>
      </c>
      <c r="G65" s="135" t="b">
        <v>0</v>
      </c>
      <c r="H65" s="135" t="b">
        <v>0</v>
      </c>
      <c r="I65" s="135" t="b">
        <v>0</v>
      </c>
      <c r="J65" s="136" t="b">
        <v>0</v>
      </c>
      <c r="K65" s="144" t="b">
        <v>0</v>
      </c>
      <c r="L65" s="145" t="b">
        <v>0</v>
      </c>
      <c r="M65" s="145" t="b">
        <v>0</v>
      </c>
      <c r="N65" s="145" t="b">
        <v>0</v>
      </c>
      <c r="O65" s="145" t="b">
        <v>0</v>
      </c>
      <c r="P65" s="145" t="b">
        <v>0</v>
      </c>
      <c r="Q65" s="146" t="b">
        <v>0</v>
      </c>
      <c r="R65" s="134" t="b">
        <v>0</v>
      </c>
      <c r="S65" s="135" t="b">
        <v>0</v>
      </c>
      <c r="T65" s="135" t="b">
        <v>0</v>
      </c>
      <c r="U65" s="135" t="b">
        <v>0</v>
      </c>
      <c r="V65" s="135" t="b">
        <v>0</v>
      </c>
      <c r="W65" s="135" t="b">
        <v>0</v>
      </c>
      <c r="X65" s="136" t="b">
        <v>0</v>
      </c>
      <c r="Y65" s="144" t="b">
        <v>0</v>
      </c>
      <c r="Z65" s="145" t="b">
        <v>0</v>
      </c>
      <c r="AA65" s="145" t="b">
        <v>0</v>
      </c>
      <c r="AB65" s="145" t="b">
        <v>0</v>
      </c>
      <c r="AC65" s="145" t="b">
        <v>0</v>
      </c>
      <c r="AD65" s="145" t="b">
        <v>0</v>
      </c>
      <c r="AE65" s="146" t="b">
        <v>0</v>
      </c>
      <c r="AF65" s="134" t="b">
        <v>0</v>
      </c>
      <c r="AG65" s="136" t="b">
        <v>0</v>
      </c>
      <c r="AI65" s="23">
        <f t="shared" si="40"/>
        <v>30</v>
      </c>
      <c r="AJ65" s="23">
        <f t="shared" si="38"/>
        <v>0</v>
      </c>
      <c r="AK65" s="24">
        <f t="shared" si="39"/>
        <v>0</v>
      </c>
    </row>
    <row r="66" spans="3:38" ht="22.5" customHeight="1" x14ac:dyDescent="0.25">
      <c r="C66" s="129" t="s">
        <v>18</v>
      </c>
      <c r="D66" s="137" t="b">
        <v>0</v>
      </c>
      <c r="E66" s="138" t="b">
        <v>0</v>
      </c>
      <c r="F66" s="138" t="b">
        <v>0</v>
      </c>
      <c r="G66" s="138" t="b">
        <v>0</v>
      </c>
      <c r="H66" s="138" t="b">
        <v>0</v>
      </c>
      <c r="I66" s="138" t="b">
        <v>0</v>
      </c>
      <c r="J66" s="139" t="b">
        <v>0</v>
      </c>
      <c r="K66" s="147" t="b">
        <v>0</v>
      </c>
      <c r="L66" s="148" t="b">
        <v>0</v>
      </c>
      <c r="M66" s="148" t="b">
        <v>0</v>
      </c>
      <c r="N66" s="148" t="b">
        <v>0</v>
      </c>
      <c r="O66" s="148" t="b">
        <v>0</v>
      </c>
      <c r="P66" s="148" t="b">
        <v>0</v>
      </c>
      <c r="Q66" s="149" t="b">
        <v>0</v>
      </c>
      <c r="R66" s="137" t="b">
        <v>0</v>
      </c>
      <c r="S66" s="138" t="b">
        <v>0</v>
      </c>
      <c r="T66" s="138" t="b">
        <v>0</v>
      </c>
      <c r="U66" s="138" t="b">
        <v>0</v>
      </c>
      <c r="V66" s="138" t="b">
        <v>0</v>
      </c>
      <c r="W66" s="138" t="b">
        <v>0</v>
      </c>
      <c r="X66" s="139" t="b">
        <v>0</v>
      </c>
      <c r="Y66" s="147" t="b">
        <v>0</v>
      </c>
      <c r="Z66" s="148" t="b">
        <v>0</v>
      </c>
      <c r="AA66" s="148" t="b">
        <v>0</v>
      </c>
      <c r="AB66" s="148" t="b">
        <v>0</v>
      </c>
      <c r="AC66" s="148" t="b">
        <v>0</v>
      </c>
      <c r="AD66" s="148" t="b">
        <v>0</v>
      </c>
      <c r="AE66" s="149" t="b">
        <v>0</v>
      </c>
      <c r="AF66" s="137" t="b">
        <v>0</v>
      </c>
      <c r="AG66" s="139" t="b">
        <v>0</v>
      </c>
      <c r="AI66" s="23">
        <f t="shared" si="40"/>
        <v>30</v>
      </c>
      <c r="AJ66" s="23">
        <f t="shared" si="38"/>
        <v>0</v>
      </c>
      <c r="AK66" s="24">
        <f t="shared" si="39"/>
        <v>0</v>
      </c>
    </row>
    <row r="67" spans="3:38" ht="22.5" customHeight="1" x14ac:dyDescent="0.25">
      <c r="D67">
        <f>COUNTIF(D60:D66, TRUE)</f>
        <v>0</v>
      </c>
      <c r="E67">
        <f t="shared" ref="E67:AG67" si="41">COUNTIF(E60:E66, TRUE)</f>
        <v>0</v>
      </c>
      <c r="F67">
        <f t="shared" si="41"/>
        <v>0</v>
      </c>
      <c r="G67">
        <f t="shared" si="41"/>
        <v>0</v>
      </c>
      <c r="H67">
        <f t="shared" si="41"/>
        <v>0</v>
      </c>
      <c r="I67">
        <f t="shared" si="41"/>
        <v>0</v>
      </c>
      <c r="J67">
        <f t="shared" si="41"/>
        <v>0</v>
      </c>
      <c r="K67">
        <f t="shared" si="41"/>
        <v>0</v>
      </c>
      <c r="L67">
        <f t="shared" si="41"/>
        <v>0</v>
      </c>
      <c r="M67">
        <f t="shared" si="41"/>
        <v>0</v>
      </c>
      <c r="N67">
        <f t="shared" si="41"/>
        <v>0</v>
      </c>
      <c r="O67">
        <f t="shared" si="41"/>
        <v>0</v>
      </c>
      <c r="P67">
        <f t="shared" si="41"/>
        <v>0</v>
      </c>
      <c r="Q67">
        <f t="shared" si="41"/>
        <v>0</v>
      </c>
      <c r="R67">
        <f t="shared" si="41"/>
        <v>0</v>
      </c>
      <c r="S67">
        <f t="shared" si="41"/>
        <v>0</v>
      </c>
      <c r="T67">
        <f t="shared" si="41"/>
        <v>0</v>
      </c>
      <c r="U67">
        <f t="shared" si="41"/>
        <v>0</v>
      </c>
      <c r="V67">
        <f t="shared" si="41"/>
        <v>0</v>
      </c>
      <c r="W67">
        <f t="shared" si="41"/>
        <v>0</v>
      </c>
      <c r="X67">
        <f t="shared" si="41"/>
        <v>0</v>
      </c>
      <c r="Y67">
        <f t="shared" si="41"/>
        <v>0</v>
      </c>
      <c r="Z67">
        <f t="shared" si="41"/>
        <v>0</v>
      </c>
      <c r="AA67">
        <f t="shared" si="41"/>
        <v>0</v>
      </c>
      <c r="AB67">
        <f t="shared" si="41"/>
        <v>0</v>
      </c>
      <c r="AC67">
        <f t="shared" si="41"/>
        <v>0</v>
      </c>
      <c r="AD67">
        <f t="shared" si="41"/>
        <v>0</v>
      </c>
      <c r="AE67">
        <f t="shared" si="41"/>
        <v>0</v>
      </c>
      <c r="AF67">
        <f t="shared" si="41"/>
        <v>0</v>
      </c>
      <c r="AG67">
        <f t="shared" si="41"/>
        <v>0</v>
      </c>
    </row>
    <row r="71" spans="3:38" ht="22.5" customHeight="1" x14ac:dyDescent="0.25">
      <c r="C71" s="151"/>
      <c r="D71" s="601" t="s">
        <v>46</v>
      </c>
      <c r="E71" s="601"/>
      <c r="F71" s="601"/>
      <c r="G71" s="601"/>
      <c r="H71" s="601"/>
      <c r="I71" s="601"/>
      <c r="J71" s="601"/>
      <c r="K71" s="152"/>
      <c r="L71" s="152"/>
      <c r="M71" s="152"/>
      <c r="N71" s="153" t="s">
        <v>21</v>
      </c>
      <c r="O71" s="152"/>
      <c r="P71" s="152"/>
      <c r="Q71" s="152"/>
      <c r="R71" s="152"/>
      <c r="S71" s="153" t="s">
        <v>23</v>
      </c>
      <c r="T71" s="152"/>
      <c r="U71" s="154"/>
      <c r="V71" s="152"/>
      <c r="W71" s="152"/>
      <c r="X71" s="153" t="s">
        <v>27</v>
      </c>
      <c r="Y71" s="152"/>
      <c r="Z71" s="152"/>
      <c r="AA71" s="152"/>
      <c r="AB71" s="153" t="s">
        <v>28</v>
      </c>
      <c r="AC71" s="152"/>
      <c r="AD71" s="152"/>
      <c r="AE71" s="152"/>
      <c r="AF71" s="152"/>
      <c r="AG71" s="152"/>
      <c r="AH71" s="155"/>
    </row>
    <row r="72" spans="3:38" ht="22.5" customHeight="1" x14ac:dyDescent="0.25">
      <c r="C72" s="156"/>
      <c r="D72" s="602"/>
      <c r="E72" s="602"/>
      <c r="F72" s="602"/>
      <c r="G72" s="602"/>
      <c r="H72" s="602"/>
      <c r="I72" s="602"/>
      <c r="J72" s="602"/>
      <c r="K72" s="157"/>
      <c r="L72" s="157"/>
      <c r="M72" s="157"/>
      <c r="N72" s="158">
        <f>COUNTA(C77:C83)</f>
        <v>7</v>
      </c>
      <c r="O72" s="157"/>
      <c r="P72" s="157"/>
      <c r="Q72" s="157"/>
      <c r="R72" s="157"/>
      <c r="S72" s="158">
        <f>COUNTIF(D77:AH83,TRUE)</f>
        <v>0</v>
      </c>
      <c r="T72" s="157"/>
      <c r="U72" s="159"/>
      <c r="V72" s="157"/>
      <c r="W72" s="603">
        <f>COUNTIF(D77:AH83, TRUE)/(COUNTA(D76:AH76)*COUNTA(C77:C83))</f>
        <v>0</v>
      </c>
      <c r="X72" s="603"/>
      <c r="Y72" s="603"/>
      <c r="Z72" s="157"/>
      <c r="AA72" s="157"/>
      <c r="AB72" s="160">
        <f>COUNTIF(D77:AH83, TRUE)/(COUNTA(D76:AH76)*COUNTA(C77:C83))</f>
        <v>0</v>
      </c>
      <c r="AC72" s="157"/>
      <c r="AD72" s="157"/>
      <c r="AE72" s="157"/>
      <c r="AF72" s="157"/>
      <c r="AG72" s="157"/>
      <c r="AH72" s="161"/>
    </row>
    <row r="74" spans="3:38" ht="22.5" customHeight="1" x14ac:dyDescent="0.25">
      <c r="C74" s="604" t="s">
        <v>1</v>
      </c>
      <c r="D74" s="607" t="s">
        <v>9</v>
      </c>
      <c r="E74" s="608"/>
      <c r="F74" s="608"/>
      <c r="G74" s="608"/>
      <c r="H74" s="608"/>
      <c r="I74" s="608"/>
      <c r="J74" s="609"/>
      <c r="K74" s="610" t="s">
        <v>10</v>
      </c>
      <c r="L74" s="611"/>
      <c r="M74" s="611"/>
      <c r="N74" s="611"/>
      <c r="O74" s="611"/>
      <c r="P74" s="611"/>
      <c r="Q74" s="612"/>
      <c r="R74" s="607" t="s">
        <v>11</v>
      </c>
      <c r="S74" s="608"/>
      <c r="T74" s="608"/>
      <c r="U74" s="608"/>
      <c r="V74" s="608"/>
      <c r="W74" s="608"/>
      <c r="X74" s="609"/>
      <c r="Y74" s="610" t="s">
        <v>12</v>
      </c>
      <c r="Z74" s="611"/>
      <c r="AA74" s="611"/>
      <c r="AB74" s="611"/>
      <c r="AC74" s="611"/>
      <c r="AD74" s="611"/>
      <c r="AE74" s="612"/>
      <c r="AF74" s="607" t="s">
        <v>13</v>
      </c>
      <c r="AG74" s="608"/>
      <c r="AH74" s="609"/>
      <c r="AJ74" s="613" t="s">
        <v>24</v>
      </c>
      <c r="AK74" s="614"/>
      <c r="AL74" s="615"/>
    </row>
    <row r="75" spans="3:38" ht="22.5" customHeight="1" x14ac:dyDescent="0.25">
      <c r="C75" s="605"/>
      <c r="D75" s="165" t="s">
        <v>8</v>
      </c>
      <c r="E75" s="165" t="s">
        <v>2</v>
      </c>
      <c r="F75" s="165" t="s">
        <v>3</v>
      </c>
      <c r="G75" s="165" t="s">
        <v>4</v>
      </c>
      <c r="H75" s="165" t="s">
        <v>5</v>
      </c>
      <c r="I75" s="165" t="s">
        <v>6</v>
      </c>
      <c r="J75" s="165" t="s">
        <v>7</v>
      </c>
      <c r="K75" s="175" t="s">
        <v>8</v>
      </c>
      <c r="L75" s="175" t="s">
        <v>2</v>
      </c>
      <c r="M75" s="175" t="s">
        <v>3</v>
      </c>
      <c r="N75" s="175" t="s">
        <v>4</v>
      </c>
      <c r="O75" s="175" t="s">
        <v>5</v>
      </c>
      <c r="P75" s="175" t="s">
        <v>6</v>
      </c>
      <c r="Q75" s="175" t="s">
        <v>7</v>
      </c>
      <c r="R75" s="165" t="s">
        <v>8</v>
      </c>
      <c r="S75" s="165" t="s">
        <v>2</v>
      </c>
      <c r="T75" s="165" t="s">
        <v>3</v>
      </c>
      <c r="U75" s="165" t="s">
        <v>4</v>
      </c>
      <c r="V75" s="165" t="s">
        <v>5</v>
      </c>
      <c r="W75" s="165" t="s">
        <v>6</v>
      </c>
      <c r="X75" s="165" t="s">
        <v>7</v>
      </c>
      <c r="Y75" s="175" t="s">
        <v>8</v>
      </c>
      <c r="Z75" s="175" t="s">
        <v>2</v>
      </c>
      <c r="AA75" s="175" t="s">
        <v>3</v>
      </c>
      <c r="AB75" s="175" t="s">
        <v>4</v>
      </c>
      <c r="AC75" s="175" t="s">
        <v>5</v>
      </c>
      <c r="AD75" s="175" t="s">
        <v>6</v>
      </c>
      <c r="AE75" s="175" t="s">
        <v>7</v>
      </c>
      <c r="AF75" s="165" t="s">
        <v>8</v>
      </c>
      <c r="AG75" s="165" t="s">
        <v>2</v>
      </c>
      <c r="AH75" s="165" t="s">
        <v>3</v>
      </c>
      <c r="AJ75" s="616"/>
      <c r="AK75" s="617"/>
      <c r="AL75" s="618"/>
    </row>
    <row r="76" spans="3:38" ht="22.5" customHeight="1" x14ac:dyDescent="0.25">
      <c r="C76" s="606"/>
      <c r="D76" s="165">
        <v>1</v>
      </c>
      <c r="E76" s="165">
        <v>2</v>
      </c>
      <c r="F76" s="165">
        <v>3</v>
      </c>
      <c r="G76" s="165">
        <v>4</v>
      </c>
      <c r="H76" s="165">
        <v>5</v>
      </c>
      <c r="I76" s="165">
        <v>6</v>
      </c>
      <c r="J76" s="165">
        <v>7</v>
      </c>
      <c r="K76" s="175">
        <v>8</v>
      </c>
      <c r="L76" s="175">
        <v>9</v>
      </c>
      <c r="M76" s="175">
        <v>10</v>
      </c>
      <c r="N76" s="175">
        <v>11</v>
      </c>
      <c r="O76" s="175">
        <v>12</v>
      </c>
      <c r="P76" s="175">
        <v>13</v>
      </c>
      <c r="Q76" s="175">
        <v>14</v>
      </c>
      <c r="R76" s="165">
        <v>15</v>
      </c>
      <c r="S76" s="165">
        <v>16</v>
      </c>
      <c r="T76" s="165">
        <v>17</v>
      </c>
      <c r="U76" s="165">
        <v>18</v>
      </c>
      <c r="V76" s="165">
        <v>19</v>
      </c>
      <c r="W76" s="165">
        <v>20</v>
      </c>
      <c r="X76" s="165">
        <v>21</v>
      </c>
      <c r="Y76" s="175">
        <v>22</v>
      </c>
      <c r="Z76" s="175">
        <v>23</v>
      </c>
      <c r="AA76" s="175">
        <v>24</v>
      </c>
      <c r="AB76" s="175">
        <v>25</v>
      </c>
      <c r="AC76" s="175">
        <v>26</v>
      </c>
      <c r="AD76" s="175">
        <v>27</v>
      </c>
      <c r="AE76" s="175">
        <v>28</v>
      </c>
      <c r="AF76" s="165">
        <v>29</v>
      </c>
      <c r="AG76" s="165">
        <v>30</v>
      </c>
      <c r="AH76" s="165">
        <v>31</v>
      </c>
      <c r="AJ76" s="185" t="s">
        <v>25</v>
      </c>
      <c r="AK76" s="185" t="s">
        <v>26</v>
      </c>
      <c r="AL76" s="185" t="s">
        <v>27</v>
      </c>
    </row>
    <row r="77" spans="3:38" ht="22.5" customHeight="1" x14ac:dyDescent="0.25">
      <c r="C77" s="162" t="s">
        <v>14</v>
      </c>
      <c r="D77" s="166" t="b">
        <v>0</v>
      </c>
      <c r="E77" s="167" t="b">
        <v>0</v>
      </c>
      <c r="F77" s="167" t="b">
        <v>0</v>
      </c>
      <c r="G77" s="167" t="b">
        <v>0</v>
      </c>
      <c r="H77" s="167" t="b">
        <v>0</v>
      </c>
      <c r="I77" s="167" t="b">
        <v>0</v>
      </c>
      <c r="J77" s="168" t="b">
        <v>0</v>
      </c>
      <c r="K77" s="176" t="b">
        <v>0</v>
      </c>
      <c r="L77" s="177" t="b">
        <v>0</v>
      </c>
      <c r="M77" s="177" t="b">
        <v>0</v>
      </c>
      <c r="N77" s="177" t="b">
        <v>0</v>
      </c>
      <c r="O77" s="177" t="b">
        <v>0</v>
      </c>
      <c r="P77" s="177" t="b">
        <v>0</v>
      </c>
      <c r="Q77" s="178" t="b">
        <v>0</v>
      </c>
      <c r="R77" s="166" t="b">
        <v>0</v>
      </c>
      <c r="S77" s="167" t="b">
        <v>0</v>
      </c>
      <c r="T77" s="167" t="b">
        <v>0</v>
      </c>
      <c r="U77" s="167" t="b">
        <v>0</v>
      </c>
      <c r="V77" s="167" t="b">
        <v>0</v>
      </c>
      <c r="W77" s="167" t="b">
        <v>0</v>
      </c>
      <c r="X77" s="168" t="b">
        <v>0</v>
      </c>
      <c r="Y77" s="176" t="b">
        <v>0</v>
      </c>
      <c r="Z77" s="177" t="b">
        <v>0</v>
      </c>
      <c r="AA77" s="177" t="b">
        <v>0</v>
      </c>
      <c r="AB77" s="177" t="b">
        <v>0</v>
      </c>
      <c r="AC77" s="177" t="b">
        <v>0</v>
      </c>
      <c r="AD77" s="177" t="b">
        <v>0</v>
      </c>
      <c r="AE77" s="178" t="b">
        <v>0</v>
      </c>
      <c r="AF77" s="166" t="b">
        <v>0</v>
      </c>
      <c r="AG77" s="167" t="b">
        <v>0</v>
      </c>
      <c r="AH77" s="168" t="b">
        <v>0</v>
      </c>
      <c r="AJ77" s="23">
        <f>COUNTA(D77:AH77)</f>
        <v>31</v>
      </c>
      <c r="AK77" s="23">
        <f>COUNTIF(D77:AH77, TRUE)</f>
        <v>0</v>
      </c>
      <c r="AL77" s="24">
        <f>AK77/AJ77</f>
        <v>0</v>
      </c>
    </row>
    <row r="78" spans="3:38" ht="22.5" customHeight="1" x14ac:dyDescent="0.25">
      <c r="C78" s="163" t="s">
        <v>15</v>
      </c>
      <c r="D78" s="169" t="b">
        <v>0</v>
      </c>
      <c r="E78" s="170" t="b">
        <v>0</v>
      </c>
      <c r="F78" s="170" t="b">
        <v>0</v>
      </c>
      <c r="G78" s="170" t="b">
        <v>0</v>
      </c>
      <c r="H78" s="170" t="b">
        <v>0</v>
      </c>
      <c r="I78" s="170" t="b">
        <v>0</v>
      </c>
      <c r="J78" s="171" t="b">
        <v>0</v>
      </c>
      <c r="K78" s="179" t="b">
        <v>0</v>
      </c>
      <c r="L78" s="180" t="b">
        <v>0</v>
      </c>
      <c r="M78" s="180" t="b">
        <v>0</v>
      </c>
      <c r="N78" s="180" t="b">
        <v>0</v>
      </c>
      <c r="O78" s="180" t="b">
        <v>0</v>
      </c>
      <c r="P78" s="180" t="b">
        <v>0</v>
      </c>
      <c r="Q78" s="181" t="b">
        <v>0</v>
      </c>
      <c r="R78" s="169" t="b">
        <v>0</v>
      </c>
      <c r="S78" s="170" t="b">
        <v>0</v>
      </c>
      <c r="T78" s="170" t="b">
        <v>0</v>
      </c>
      <c r="U78" s="170" t="b">
        <v>0</v>
      </c>
      <c r="V78" s="170" t="b">
        <v>0</v>
      </c>
      <c r="W78" s="170" t="b">
        <v>0</v>
      </c>
      <c r="X78" s="171" t="b">
        <v>0</v>
      </c>
      <c r="Y78" s="179" t="b">
        <v>0</v>
      </c>
      <c r="Z78" s="180" t="b">
        <v>0</v>
      </c>
      <c r="AA78" s="180" t="b">
        <v>0</v>
      </c>
      <c r="AB78" s="180" t="b">
        <v>0</v>
      </c>
      <c r="AC78" s="180" t="b">
        <v>0</v>
      </c>
      <c r="AD78" s="180" t="b">
        <v>0</v>
      </c>
      <c r="AE78" s="181" t="b">
        <v>0</v>
      </c>
      <c r="AF78" s="169" t="b">
        <v>0</v>
      </c>
      <c r="AG78" s="170" t="b">
        <v>0</v>
      </c>
      <c r="AH78" s="171" t="b">
        <v>0</v>
      </c>
      <c r="AJ78" s="23">
        <f t="shared" ref="AJ78:AJ83" si="42">COUNTA(D78:AH78)</f>
        <v>31</v>
      </c>
      <c r="AK78" s="23">
        <f t="shared" ref="AK78" si="43">COUNTIF(D78:AH78, TRUE)</f>
        <v>0</v>
      </c>
      <c r="AL78" s="24">
        <f t="shared" ref="AL78:AL83" si="44">AK78/AJ78</f>
        <v>0</v>
      </c>
    </row>
    <row r="79" spans="3:38" ht="22.5" customHeight="1" x14ac:dyDescent="0.25">
      <c r="C79" s="163" t="s">
        <v>16</v>
      </c>
      <c r="D79" s="169" t="b">
        <v>0</v>
      </c>
      <c r="E79" s="170" t="b">
        <v>0</v>
      </c>
      <c r="F79" s="170" t="b">
        <v>0</v>
      </c>
      <c r="G79" s="170" t="b">
        <v>0</v>
      </c>
      <c r="H79" s="170" t="b">
        <v>0</v>
      </c>
      <c r="I79" s="170" t="b">
        <v>0</v>
      </c>
      <c r="J79" s="171" t="b">
        <v>0</v>
      </c>
      <c r="K79" s="179" t="b">
        <v>0</v>
      </c>
      <c r="L79" s="180" t="b">
        <v>0</v>
      </c>
      <c r="M79" s="180" t="b">
        <v>0</v>
      </c>
      <c r="N79" s="180" t="b">
        <v>0</v>
      </c>
      <c r="O79" s="180" t="b">
        <v>0</v>
      </c>
      <c r="P79" s="180" t="b">
        <v>0</v>
      </c>
      <c r="Q79" s="181" t="b">
        <v>0</v>
      </c>
      <c r="R79" s="169" t="b">
        <v>0</v>
      </c>
      <c r="S79" s="170" t="b">
        <v>0</v>
      </c>
      <c r="T79" s="170" t="b">
        <v>0</v>
      </c>
      <c r="U79" s="170" t="b">
        <v>0</v>
      </c>
      <c r="V79" s="170" t="b">
        <v>0</v>
      </c>
      <c r="W79" s="170" t="b">
        <v>0</v>
      </c>
      <c r="X79" s="171" t="b">
        <v>0</v>
      </c>
      <c r="Y79" s="179" t="b">
        <v>0</v>
      </c>
      <c r="Z79" s="180" t="b">
        <v>0</v>
      </c>
      <c r="AA79" s="180" t="b">
        <v>0</v>
      </c>
      <c r="AB79" s="180" t="b">
        <v>0</v>
      </c>
      <c r="AC79" s="180" t="b">
        <v>0</v>
      </c>
      <c r="AD79" s="180" t="b">
        <v>0</v>
      </c>
      <c r="AE79" s="181" t="b">
        <v>0</v>
      </c>
      <c r="AF79" s="169" t="b">
        <v>0</v>
      </c>
      <c r="AG79" s="170" t="b">
        <v>0</v>
      </c>
      <c r="AH79" s="171" t="b">
        <v>0</v>
      </c>
      <c r="AJ79" s="23">
        <f t="shared" si="42"/>
        <v>31</v>
      </c>
      <c r="AK79" s="23">
        <f>COUNTIF(D79:AH79, TRUE)</f>
        <v>0</v>
      </c>
      <c r="AL79" s="24">
        <f t="shared" si="44"/>
        <v>0</v>
      </c>
    </row>
    <row r="80" spans="3:38" ht="22.5" customHeight="1" x14ac:dyDescent="0.25">
      <c r="C80" s="163" t="s">
        <v>17</v>
      </c>
      <c r="D80" s="169" t="b">
        <v>0</v>
      </c>
      <c r="E80" s="170" t="b">
        <v>0</v>
      </c>
      <c r="F80" s="170" t="b">
        <v>0</v>
      </c>
      <c r="G80" s="170" t="b">
        <v>0</v>
      </c>
      <c r="H80" s="170" t="b">
        <v>0</v>
      </c>
      <c r="I80" s="170" t="b">
        <v>0</v>
      </c>
      <c r="J80" s="171" t="b">
        <v>0</v>
      </c>
      <c r="K80" s="179" t="b">
        <v>0</v>
      </c>
      <c r="L80" s="180" t="b">
        <v>0</v>
      </c>
      <c r="M80" s="180" t="b">
        <v>0</v>
      </c>
      <c r="N80" s="180" t="b">
        <v>0</v>
      </c>
      <c r="O80" s="180" t="b">
        <v>0</v>
      </c>
      <c r="P80" s="180" t="b">
        <v>0</v>
      </c>
      <c r="Q80" s="181" t="b">
        <v>0</v>
      </c>
      <c r="R80" s="169" t="b">
        <v>0</v>
      </c>
      <c r="S80" s="170" t="b">
        <v>0</v>
      </c>
      <c r="T80" s="170" t="b">
        <v>0</v>
      </c>
      <c r="U80" s="170" t="b">
        <v>0</v>
      </c>
      <c r="V80" s="170" t="b">
        <v>0</v>
      </c>
      <c r="W80" s="170" t="b">
        <v>0</v>
      </c>
      <c r="X80" s="171" t="b">
        <v>0</v>
      </c>
      <c r="Y80" s="179" t="b">
        <v>0</v>
      </c>
      <c r="Z80" s="180" t="b">
        <v>0</v>
      </c>
      <c r="AA80" s="180" t="b">
        <v>0</v>
      </c>
      <c r="AB80" s="180" t="b">
        <v>0</v>
      </c>
      <c r="AC80" s="180" t="b">
        <v>0</v>
      </c>
      <c r="AD80" s="180" t="b">
        <v>0</v>
      </c>
      <c r="AE80" s="181" t="b">
        <v>0</v>
      </c>
      <c r="AF80" s="169" t="b">
        <v>0</v>
      </c>
      <c r="AG80" s="170" t="b">
        <v>0</v>
      </c>
      <c r="AH80" s="171" t="b">
        <v>0</v>
      </c>
      <c r="AJ80" s="23">
        <f t="shared" si="42"/>
        <v>31</v>
      </c>
      <c r="AK80" s="23">
        <f t="shared" ref="AK80:AK83" si="45">COUNTIF(D80:AH80, TRUE)</f>
        <v>0</v>
      </c>
      <c r="AL80" s="24">
        <f t="shared" si="44"/>
        <v>0</v>
      </c>
    </row>
    <row r="81" spans="3:38" ht="22.5" customHeight="1" x14ac:dyDescent="0.25">
      <c r="C81" s="163" t="s">
        <v>19</v>
      </c>
      <c r="D81" s="169" t="b">
        <v>0</v>
      </c>
      <c r="E81" s="170" t="b">
        <v>0</v>
      </c>
      <c r="F81" s="170" t="b">
        <v>0</v>
      </c>
      <c r="G81" s="170" t="b">
        <v>0</v>
      </c>
      <c r="H81" s="170" t="b">
        <v>0</v>
      </c>
      <c r="I81" s="170" t="b">
        <v>0</v>
      </c>
      <c r="J81" s="171" t="b">
        <v>0</v>
      </c>
      <c r="K81" s="179" t="b">
        <v>0</v>
      </c>
      <c r="L81" s="180" t="b">
        <v>0</v>
      </c>
      <c r="M81" s="180" t="b">
        <v>0</v>
      </c>
      <c r="N81" s="180" t="b">
        <v>0</v>
      </c>
      <c r="O81" s="180" t="b">
        <v>0</v>
      </c>
      <c r="P81" s="180" t="b">
        <v>0</v>
      </c>
      <c r="Q81" s="181" t="b">
        <v>0</v>
      </c>
      <c r="R81" s="169" t="b">
        <v>0</v>
      </c>
      <c r="S81" s="170" t="b">
        <v>0</v>
      </c>
      <c r="T81" s="170" t="b">
        <v>0</v>
      </c>
      <c r="U81" s="170" t="b">
        <v>0</v>
      </c>
      <c r="V81" s="170" t="b">
        <v>0</v>
      </c>
      <c r="W81" s="170" t="b">
        <v>0</v>
      </c>
      <c r="X81" s="171" t="b">
        <v>0</v>
      </c>
      <c r="Y81" s="179" t="b">
        <v>0</v>
      </c>
      <c r="Z81" s="180" t="b">
        <v>0</v>
      </c>
      <c r="AA81" s="180" t="b">
        <v>0</v>
      </c>
      <c r="AB81" s="180" t="b">
        <v>0</v>
      </c>
      <c r="AC81" s="180" t="b">
        <v>0</v>
      </c>
      <c r="AD81" s="180" t="b">
        <v>0</v>
      </c>
      <c r="AE81" s="181" t="b">
        <v>0</v>
      </c>
      <c r="AF81" s="169" t="b">
        <v>0</v>
      </c>
      <c r="AG81" s="170" t="b">
        <v>0</v>
      </c>
      <c r="AH81" s="171" t="b">
        <v>0</v>
      </c>
      <c r="AJ81" s="23">
        <f t="shared" si="42"/>
        <v>31</v>
      </c>
      <c r="AK81" s="23">
        <f t="shared" si="45"/>
        <v>0</v>
      </c>
      <c r="AL81" s="24">
        <f t="shared" si="44"/>
        <v>0</v>
      </c>
    </row>
    <row r="82" spans="3:38" ht="22.5" customHeight="1" x14ac:dyDescent="0.25">
      <c r="C82" s="163" t="s">
        <v>20</v>
      </c>
      <c r="D82" s="169" t="b">
        <v>0</v>
      </c>
      <c r="E82" s="170" t="b">
        <v>0</v>
      </c>
      <c r="F82" s="170" t="b">
        <v>0</v>
      </c>
      <c r="G82" s="170" t="b">
        <v>0</v>
      </c>
      <c r="H82" s="170" t="b">
        <v>0</v>
      </c>
      <c r="I82" s="170" t="b">
        <v>0</v>
      </c>
      <c r="J82" s="171" t="b">
        <v>0</v>
      </c>
      <c r="K82" s="179" t="b">
        <v>0</v>
      </c>
      <c r="L82" s="180" t="b">
        <v>0</v>
      </c>
      <c r="M82" s="180" t="b">
        <v>0</v>
      </c>
      <c r="N82" s="180" t="b">
        <v>0</v>
      </c>
      <c r="O82" s="180" t="b">
        <v>0</v>
      </c>
      <c r="P82" s="180" t="b">
        <v>0</v>
      </c>
      <c r="Q82" s="181" t="b">
        <v>0</v>
      </c>
      <c r="R82" s="169" t="b">
        <v>0</v>
      </c>
      <c r="S82" s="170" t="b">
        <v>0</v>
      </c>
      <c r="T82" s="170" t="b">
        <v>0</v>
      </c>
      <c r="U82" s="170" t="b">
        <v>0</v>
      </c>
      <c r="V82" s="170" t="b">
        <v>0</v>
      </c>
      <c r="W82" s="170" t="b">
        <v>0</v>
      </c>
      <c r="X82" s="171" t="b">
        <v>0</v>
      </c>
      <c r="Y82" s="179" t="b">
        <v>0</v>
      </c>
      <c r="Z82" s="180" t="b">
        <v>0</v>
      </c>
      <c r="AA82" s="180" t="b">
        <v>0</v>
      </c>
      <c r="AB82" s="180" t="b">
        <v>0</v>
      </c>
      <c r="AC82" s="180" t="b">
        <v>0</v>
      </c>
      <c r="AD82" s="180" t="b">
        <v>0</v>
      </c>
      <c r="AE82" s="181" t="b">
        <v>0</v>
      </c>
      <c r="AF82" s="169" t="b">
        <v>0</v>
      </c>
      <c r="AG82" s="170" t="b">
        <v>0</v>
      </c>
      <c r="AH82" s="171" t="b">
        <v>0</v>
      </c>
      <c r="AJ82" s="23">
        <f t="shared" si="42"/>
        <v>31</v>
      </c>
      <c r="AK82" s="23">
        <f t="shared" si="45"/>
        <v>0</v>
      </c>
      <c r="AL82" s="24">
        <f t="shared" si="44"/>
        <v>0</v>
      </c>
    </row>
    <row r="83" spans="3:38" ht="22.5" customHeight="1" x14ac:dyDescent="0.25">
      <c r="C83" s="164" t="s">
        <v>18</v>
      </c>
      <c r="D83" s="172" t="b">
        <v>0</v>
      </c>
      <c r="E83" s="173" t="b">
        <v>0</v>
      </c>
      <c r="F83" s="173" t="b">
        <v>0</v>
      </c>
      <c r="G83" s="173" t="b">
        <v>0</v>
      </c>
      <c r="H83" s="173" t="b">
        <v>0</v>
      </c>
      <c r="I83" s="173" t="b">
        <v>0</v>
      </c>
      <c r="J83" s="174" t="b">
        <v>0</v>
      </c>
      <c r="K83" s="182" t="b">
        <v>0</v>
      </c>
      <c r="L83" s="183" t="b">
        <v>0</v>
      </c>
      <c r="M83" s="183" t="b">
        <v>0</v>
      </c>
      <c r="N83" s="183" t="b">
        <v>0</v>
      </c>
      <c r="O83" s="183" t="b">
        <v>0</v>
      </c>
      <c r="P83" s="183" t="b">
        <v>0</v>
      </c>
      <c r="Q83" s="184" t="b">
        <v>0</v>
      </c>
      <c r="R83" s="172" t="b">
        <v>0</v>
      </c>
      <c r="S83" s="173" t="b">
        <v>0</v>
      </c>
      <c r="T83" s="173" t="b">
        <v>0</v>
      </c>
      <c r="U83" s="173" t="b">
        <v>0</v>
      </c>
      <c r="V83" s="173" t="b">
        <v>0</v>
      </c>
      <c r="W83" s="173" t="b">
        <v>0</v>
      </c>
      <c r="X83" s="174" t="b">
        <v>0</v>
      </c>
      <c r="Y83" s="182" t="b">
        <v>0</v>
      </c>
      <c r="Z83" s="183" t="b">
        <v>0</v>
      </c>
      <c r="AA83" s="183" t="b">
        <v>0</v>
      </c>
      <c r="AB83" s="183" t="b">
        <v>0</v>
      </c>
      <c r="AC83" s="183" t="b">
        <v>0</v>
      </c>
      <c r="AD83" s="183" t="b">
        <v>0</v>
      </c>
      <c r="AE83" s="184" t="b">
        <v>0</v>
      </c>
      <c r="AF83" s="172" t="b">
        <v>0</v>
      </c>
      <c r="AG83" s="173" t="b">
        <v>0</v>
      </c>
      <c r="AH83" s="174" t="b">
        <v>0</v>
      </c>
      <c r="AJ83" s="23">
        <f t="shared" si="42"/>
        <v>31</v>
      </c>
      <c r="AK83" s="23">
        <f t="shared" si="45"/>
        <v>0</v>
      </c>
      <c r="AL83" s="24">
        <f t="shared" si="44"/>
        <v>0</v>
      </c>
    </row>
    <row r="84" spans="3:38" ht="22.5" customHeight="1" x14ac:dyDescent="0.25">
      <c r="D84">
        <f>COUNTIF(D77:D83, TRUE)</f>
        <v>0</v>
      </c>
      <c r="E84">
        <f t="shared" ref="E84:AH84" si="46">COUNTIF(E77:E83, TRUE)</f>
        <v>0</v>
      </c>
      <c r="F84">
        <f t="shared" si="46"/>
        <v>0</v>
      </c>
      <c r="G84">
        <f t="shared" si="46"/>
        <v>0</v>
      </c>
      <c r="H84">
        <f t="shared" si="46"/>
        <v>0</v>
      </c>
      <c r="I84">
        <f t="shared" si="46"/>
        <v>0</v>
      </c>
      <c r="J84">
        <f t="shared" si="46"/>
        <v>0</v>
      </c>
      <c r="K84">
        <f t="shared" si="46"/>
        <v>0</v>
      </c>
      <c r="L84">
        <f t="shared" si="46"/>
        <v>0</v>
      </c>
      <c r="M84">
        <f t="shared" si="46"/>
        <v>0</v>
      </c>
      <c r="N84">
        <f t="shared" si="46"/>
        <v>0</v>
      </c>
      <c r="O84">
        <f t="shared" si="46"/>
        <v>0</v>
      </c>
      <c r="P84">
        <f t="shared" si="46"/>
        <v>0</v>
      </c>
      <c r="Q84">
        <f t="shared" si="46"/>
        <v>0</v>
      </c>
      <c r="R84">
        <f t="shared" si="46"/>
        <v>0</v>
      </c>
      <c r="S84">
        <f t="shared" si="46"/>
        <v>0</v>
      </c>
      <c r="T84">
        <f t="shared" si="46"/>
        <v>0</v>
      </c>
      <c r="U84">
        <f t="shared" si="46"/>
        <v>0</v>
      </c>
      <c r="V84">
        <f t="shared" si="46"/>
        <v>0</v>
      </c>
      <c r="W84">
        <f t="shared" si="46"/>
        <v>0</v>
      </c>
      <c r="X84">
        <f t="shared" si="46"/>
        <v>0</v>
      </c>
      <c r="Y84">
        <f t="shared" si="46"/>
        <v>0</v>
      </c>
      <c r="Z84">
        <f t="shared" si="46"/>
        <v>0</v>
      </c>
      <c r="AA84">
        <f t="shared" si="46"/>
        <v>0</v>
      </c>
      <c r="AB84">
        <f t="shared" si="46"/>
        <v>0</v>
      </c>
      <c r="AC84">
        <f t="shared" si="46"/>
        <v>0</v>
      </c>
      <c r="AD84">
        <f t="shared" si="46"/>
        <v>0</v>
      </c>
      <c r="AE84">
        <f t="shared" si="46"/>
        <v>0</v>
      </c>
      <c r="AF84">
        <f t="shared" si="46"/>
        <v>0</v>
      </c>
      <c r="AG84">
        <f t="shared" si="46"/>
        <v>0</v>
      </c>
      <c r="AH84">
        <f t="shared" si="46"/>
        <v>0</v>
      </c>
    </row>
    <row r="88" spans="3:38" ht="22.5" customHeight="1" x14ac:dyDescent="0.25">
      <c r="C88" s="186"/>
      <c r="D88" s="591" t="s">
        <v>47</v>
      </c>
      <c r="E88" s="591"/>
      <c r="F88" s="591"/>
      <c r="G88" s="591"/>
      <c r="H88" s="591"/>
      <c r="I88" s="591"/>
      <c r="J88" s="591"/>
      <c r="K88" s="187"/>
      <c r="L88" s="187"/>
      <c r="M88" s="187"/>
      <c r="N88" s="188" t="s">
        <v>21</v>
      </c>
      <c r="O88" s="187"/>
      <c r="P88" s="187"/>
      <c r="Q88" s="187"/>
      <c r="R88" s="187"/>
      <c r="S88" s="188" t="s">
        <v>23</v>
      </c>
      <c r="T88" s="187"/>
      <c r="U88" s="189"/>
      <c r="V88" s="187"/>
      <c r="W88" s="187"/>
      <c r="X88" s="188" t="s">
        <v>27</v>
      </c>
      <c r="Y88" s="187"/>
      <c r="Z88" s="187"/>
      <c r="AA88" s="187"/>
      <c r="AB88" s="188" t="s">
        <v>28</v>
      </c>
      <c r="AC88" s="187"/>
      <c r="AD88" s="187"/>
      <c r="AE88" s="187"/>
      <c r="AF88" s="187"/>
      <c r="AG88" s="187"/>
    </row>
    <row r="89" spans="3:38" ht="22.5" customHeight="1" x14ac:dyDescent="0.25">
      <c r="C89" s="190"/>
      <c r="D89" s="592"/>
      <c r="E89" s="592"/>
      <c r="F89" s="592"/>
      <c r="G89" s="592"/>
      <c r="H89" s="592"/>
      <c r="I89" s="592"/>
      <c r="J89" s="592"/>
      <c r="K89" s="191"/>
      <c r="L89" s="191"/>
      <c r="M89" s="191"/>
      <c r="N89" s="192">
        <f>COUNTA(C94:C100)</f>
        <v>7</v>
      </c>
      <c r="O89" s="191"/>
      <c r="P89" s="191"/>
      <c r="Q89" s="191"/>
      <c r="R89" s="191"/>
      <c r="S89" s="192">
        <f>COUNTIF(D94:AG100,TRUE)</f>
        <v>0</v>
      </c>
      <c r="T89" s="191"/>
      <c r="U89" s="193"/>
      <c r="V89" s="191"/>
      <c r="W89" s="593">
        <f>COUNTIF(D94:AG100, TRUE)/(COUNTA(D93:AG93)*COUNTA(C94:C100))</f>
        <v>0</v>
      </c>
      <c r="X89" s="593"/>
      <c r="Y89" s="593"/>
      <c r="Z89" s="191"/>
      <c r="AA89" s="191"/>
      <c r="AB89" s="194">
        <f>COUNTIF(D94:AG100, TRUE)/(COUNTA(D93:AG93)*COUNTA(C94:C100))</f>
        <v>0</v>
      </c>
      <c r="AC89" s="191"/>
      <c r="AD89" s="191"/>
      <c r="AE89" s="191"/>
      <c r="AF89" s="191"/>
      <c r="AG89" s="191"/>
    </row>
    <row r="91" spans="3:38" ht="22.5" customHeight="1" x14ac:dyDescent="0.25">
      <c r="C91" s="594" t="s">
        <v>1</v>
      </c>
      <c r="D91" s="571" t="s">
        <v>9</v>
      </c>
      <c r="E91" s="597"/>
      <c r="F91" s="597"/>
      <c r="G91" s="597"/>
      <c r="H91" s="597"/>
      <c r="I91" s="597"/>
      <c r="J91" s="572"/>
      <c r="K91" s="598" t="s">
        <v>10</v>
      </c>
      <c r="L91" s="599"/>
      <c r="M91" s="599"/>
      <c r="N91" s="599"/>
      <c r="O91" s="599"/>
      <c r="P91" s="599"/>
      <c r="Q91" s="600"/>
      <c r="R91" s="571" t="s">
        <v>11</v>
      </c>
      <c r="S91" s="597"/>
      <c r="T91" s="597"/>
      <c r="U91" s="597"/>
      <c r="V91" s="597"/>
      <c r="W91" s="597"/>
      <c r="X91" s="572"/>
      <c r="Y91" s="598" t="s">
        <v>12</v>
      </c>
      <c r="Z91" s="599"/>
      <c r="AA91" s="599"/>
      <c r="AB91" s="599"/>
      <c r="AC91" s="599"/>
      <c r="AD91" s="599"/>
      <c r="AE91" s="600"/>
      <c r="AF91" s="571" t="s">
        <v>13</v>
      </c>
      <c r="AG91" s="572"/>
      <c r="AI91" s="573" t="s">
        <v>24</v>
      </c>
      <c r="AJ91" s="574"/>
      <c r="AK91" s="575"/>
    </row>
    <row r="92" spans="3:38" ht="22.5" customHeight="1" x14ac:dyDescent="0.25">
      <c r="C92" s="595"/>
      <c r="D92" s="208" t="s">
        <v>4</v>
      </c>
      <c r="E92" s="208" t="s">
        <v>5</v>
      </c>
      <c r="F92" s="208" t="s">
        <v>44</v>
      </c>
      <c r="G92" s="208" t="s">
        <v>7</v>
      </c>
      <c r="H92" s="208" t="s">
        <v>8</v>
      </c>
      <c r="I92" s="208" t="s">
        <v>2</v>
      </c>
      <c r="J92" s="208" t="s">
        <v>3</v>
      </c>
      <c r="K92" s="198" t="s">
        <v>4</v>
      </c>
      <c r="L92" s="198" t="s">
        <v>5</v>
      </c>
      <c r="M92" s="198" t="s">
        <v>44</v>
      </c>
      <c r="N92" s="198" t="s">
        <v>7</v>
      </c>
      <c r="O92" s="198" t="s">
        <v>8</v>
      </c>
      <c r="P92" s="198" t="s">
        <v>2</v>
      </c>
      <c r="Q92" s="198" t="s">
        <v>3</v>
      </c>
      <c r="R92" s="208" t="s">
        <v>4</v>
      </c>
      <c r="S92" s="208" t="s">
        <v>5</v>
      </c>
      <c r="T92" s="208" t="s">
        <v>44</v>
      </c>
      <c r="U92" s="208" t="s">
        <v>7</v>
      </c>
      <c r="V92" s="208" t="s">
        <v>8</v>
      </c>
      <c r="W92" s="208" t="s">
        <v>2</v>
      </c>
      <c r="X92" s="208" t="s">
        <v>3</v>
      </c>
      <c r="Y92" s="198" t="s">
        <v>4</v>
      </c>
      <c r="Z92" s="198" t="s">
        <v>5</v>
      </c>
      <c r="AA92" s="198" t="s">
        <v>44</v>
      </c>
      <c r="AB92" s="198" t="s">
        <v>7</v>
      </c>
      <c r="AC92" s="198" t="s">
        <v>8</v>
      </c>
      <c r="AD92" s="198" t="s">
        <v>2</v>
      </c>
      <c r="AE92" s="198" t="s">
        <v>3</v>
      </c>
      <c r="AF92" s="208" t="s">
        <v>4</v>
      </c>
      <c r="AG92" s="208" t="s">
        <v>5</v>
      </c>
      <c r="AI92" s="576"/>
      <c r="AJ92" s="577"/>
      <c r="AK92" s="578"/>
    </row>
    <row r="93" spans="3:38" ht="22.5" customHeight="1" x14ac:dyDescent="0.25">
      <c r="C93" s="596"/>
      <c r="D93" s="208">
        <v>1</v>
      </c>
      <c r="E93" s="208">
        <v>2</v>
      </c>
      <c r="F93" s="208">
        <v>3</v>
      </c>
      <c r="G93" s="208">
        <v>4</v>
      </c>
      <c r="H93" s="208">
        <v>5</v>
      </c>
      <c r="I93" s="208">
        <v>6</v>
      </c>
      <c r="J93" s="208">
        <v>7</v>
      </c>
      <c r="K93" s="198">
        <v>8</v>
      </c>
      <c r="L93" s="198">
        <v>9</v>
      </c>
      <c r="M93" s="198">
        <v>10</v>
      </c>
      <c r="N93" s="198">
        <v>11</v>
      </c>
      <c r="O93" s="198">
        <v>12</v>
      </c>
      <c r="P93" s="198">
        <v>13</v>
      </c>
      <c r="Q93" s="198">
        <v>14</v>
      </c>
      <c r="R93" s="208">
        <v>15</v>
      </c>
      <c r="S93" s="208">
        <v>16</v>
      </c>
      <c r="T93" s="208">
        <v>17</v>
      </c>
      <c r="U93" s="208">
        <v>18</v>
      </c>
      <c r="V93" s="208">
        <v>19</v>
      </c>
      <c r="W93" s="208">
        <v>20</v>
      </c>
      <c r="X93" s="208">
        <v>21</v>
      </c>
      <c r="Y93" s="198">
        <v>22</v>
      </c>
      <c r="Z93" s="198">
        <v>23</v>
      </c>
      <c r="AA93" s="198">
        <v>24</v>
      </c>
      <c r="AB93" s="198">
        <v>25</v>
      </c>
      <c r="AC93" s="198">
        <v>26</v>
      </c>
      <c r="AD93" s="198">
        <v>27</v>
      </c>
      <c r="AE93" s="198">
        <v>28</v>
      </c>
      <c r="AF93" s="208">
        <v>29</v>
      </c>
      <c r="AG93" s="208">
        <v>30</v>
      </c>
      <c r="AI93" s="218" t="s">
        <v>25</v>
      </c>
      <c r="AJ93" s="218" t="s">
        <v>26</v>
      </c>
      <c r="AK93" s="218" t="s">
        <v>27</v>
      </c>
    </row>
    <row r="94" spans="3:38" ht="22.5" customHeight="1" x14ac:dyDescent="0.25">
      <c r="C94" s="195" t="s">
        <v>14</v>
      </c>
      <c r="D94" s="209" t="b">
        <v>0</v>
      </c>
      <c r="E94" s="210" t="b">
        <v>0</v>
      </c>
      <c r="F94" s="210" t="b">
        <v>0</v>
      </c>
      <c r="G94" s="210" t="b">
        <v>0</v>
      </c>
      <c r="H94" s="210" t="b">
        <v>0</v>
      </c>
      <c r="I94" s="210" t="b">
        <v>0</v>
      </c>
      <c r="J94" s="211" t="b">
        <v>0</v>
      </c>
      <c r="K94" s="199" t="b">
        <v>0</v>
      </c>
      <c r="L94" s="200" t="b">
        <v>0</v>
      </c>
      <c r="M94" s="200" t="b">
        <v>0</v>
      </c>
      <c r="N94" s="200" t="b">
        <v>0</v>
      </c>
      <c r="O94" s="200" t="b">
        <v>0</v>
      </c>
      <c r="P94" s="200" t="b">
        <v>0</v>
      </c>
      <c r="Q94" s="201" t="b">
        <v>0</v>
      </c>
      <c r="R94" s="209" t="b">
        <v>0</v>
      </c>
      <c r="S94" s="210" t="b">
        <v>0</v>
      </c>
      <c r="T94" s="210" t="b">
        <v>0</v>
      </c>
      <c r="U94" s="210" t="b">
        <v>0</v>
      </c>
      <c r="V94" s="210" t="b">
        <v>0</v>
      </c>
      <c r="W94" s="210" t="b">
        <v>0</v>
      </c>
      <c r="X94" s="211" t="b">
        <v>0</v>
      </c>
      <c r="Y94" s="199" t="b">
        <v>0</v>
      </c>
      <c r="Z94" s="200" t="b">
        <v>0</v>
      </c>
      <c r="AA94" s="200" t="b">
        <v>0</v>
      </c>
      <c r="AB94" s="200" t="b">
        <v>0</v>
      </c>
      <c r="AC94" s="200" t="b">
        <v>0</v>
      </c>
      <c r="AD94" s="200" t="b">
        <v>0</v>
      </c>
      <c r="AE94" s="201" t="b">
        <v>0</v>
      </c>
      <c r="AF94" s="209" t="b">
        <v>0</v>
      </c>
      <c r="AG94" s="211" t="b">
        <v>0</v>
      </c>
      <c r="AI94" s="23">
        <f>COUNTA(D94:AG94)</f>
        <v>30</v>
      </c>
      <c r="AJ94" s="23">
        <f t="shared" ref="AJ94:AJ100" si="47">COUNTIF(D94:AG94, TRUE)</f>
        <v>0</v>
      </c>
      <c r="AK94" s="24">
        <f>AJ94/AI94</f>
        <v>0</v>
      </c>
    </row>
    <row r="95" spans="3:38" ht="22.5" customHeight="1" x14ac:dyDescent="0.25">
      <c r="C95" s="196" t="s">
        <v>15</v>
      </c>
      <c r="D95" s="212" t="b">
        <v>0</v>
      </c>
      <c r="E95" s="213" t="b">
        <v>0</v>
      </c>
      <c r="F95" s="213" t="b">
        <v>0</v>
      </c>
      <c r="G95" s="213" t="b">
        <v>0</v>
      </c>
      <c r="H95" s="213" t="b">
        <v>0</v>
      </c>
      <c r="I95" s="213" t="b">
        <v>0</v>
      </c>
      <c r="J95" s="214" t="b">
        <v>0</v>
      </c>
      <c r="K95" s="202" t="b">
        <v>0</v>
      </c>
      <c r="L95" s="203" t="b">
        <v>0</v>
      </c>
      <c r="M95" s="203" t="b">
        <v>0</v>
      </c>
      <c r="N95" s="203" t="b">
        <v>0</v>
      </c>
      <c r="O95" s="203" t="b">
        <v>0</v>
      </c>
      <c r="P95" s="203" t="b">
        <v>0</v>
      </c>
      <c r="Q95" s="204" t="b">
        <v>0</v>
      </c>
      <c r="R95" s="212" t="b">
        <v>0</v>
      </c>
      <c r="S95" s="213" t="b">
        <v>0</v>
      </c>
      <c r="T95" s="213" t="b">
        <v>0</v>
      </c>
      <c r="U95" s="213" t="b">
        <v>0</v>
      </c>
      <c r="V95" s="213" t="b">
        <v>0</v>
      </c>
      <c r="W95" s="213" t="b">
        <v>0</v>
      </c>
      <c r="X95" s="214" t="b">
        <v>0</v>
      </c>
      <c r="Y95" s="202" t="b">
        <v>0</v>
      </c>
      <c r="Z95" s="203" t="b">
        <v>0</v>
      </c>
      <c r="AA95" s="203" t="b">
        <v>0</v>
      </c>
      <c r="AB95" s="203" t="b">
        <v>0</v>
      </c>
      <c r="AC95" s="203" t="b">
        <v>0</v>
      </c>
      <c r="AD95" s="203" t="b">
        <v>0</v>
      </c>
      <c r="AE95" s="204" t="b">
        <v>0</v>
      </c>
      <c r="AF95" s="212" t="b">
        <v>0</v>
      </c>
      <c r="AG95" s="214" t="b">
        <v>0</v>
      </c>
      <c r="AI95" s="23">
        <f>COUNTA(D95:AG95)</f>
        <v>30</v>
      </c>
      <c r="AJ95" s="23">
        <f t="shared" si="47"/>
        <v>0</v>
      </c>
      <c r="AK95" s="24">
        <f t="shared" ref="AK95:AK100" si="48">AJ95/AI95</f>
        <v>0</v>
      </c>
    </row>
    <row r="96" spans="3:38" ht="22.5" customHeight="1" x14ac:dyDescent="0.25">
      <c r="C96" s="196" t="s">
        <v>16</v>
      </c>
      <c r="D96" s="212" t="b">
        <v>0</v>
      </c>
      <c r="E96" s="213" t="b">
        <v>0</v>
      </c>
      <c r="F96" s="213" t="b">
        <v>0</v>
      </c>
      <c r="G96" s="213" t="b">
        <v>0</v>
      </c>
      <c r="H96" s="213" t="b">
        <v>0</v>
      </c>
      <c r="I96" s="213" t="b">
        <v>0</v>
      </c>
      <c r="J96" s="214" t="b">
        <v>0</v>
      </c>
      <c r="K96" s="202" t="b">
        <v>0</v>
      </c>
      <c r="L96" s="203" t="b">
        <v>0</v>
      </c>
      <c r="M96" s="203" t="b">
        <v>0</v>
      </c>
      <c r="N96" s="203" t="b">
        <v>0</v>
      </c>
      <c r="O96" s="203" t="b">
        <v>0</v>
      </c>
      <c r="P96" s="203" t="b">
        <v>0</v>
      </c>
      <c r="Q96" s="204" t="b">
        <v>0</v>
      </c>
      <c r="R96" s="212" t="b">
        <v>0</v>
      </c>
      <c r="S96" s="213" t="b">
        <v>0</v>
      </c>
      <c r="T96" s="213" t="b">
        <v>0</v>
      </c>
      <c r="U96" s="213" t="b">
        <v>0</v>
      </c>
      <c r="V96" s="213" t="b">
        <v>0</v>
      </c>
      <c r="W96" s="213" t="b">
        <v>0</v>
      </c>
      <c r="X96" s="214" t="b">
        <v>0</v>
      </c>
      <c r="Y96" s="202" t="b">
        <v>0</v>
      </c>
      <c r="Z96" s="203" t="b">
        <v>0</v>
      </c>
      <c r="AA96" s="203" t="b">
        <v>0</v>
      </c>
      <c r="AB96" s="203" t="b">
        <v>0</v>
      </c>
      <c r="AC96" s="203" t="b">
        <v>0</v>
      </c>
      <c r="AD96" s="203" t="b">
        <v>0</v>
      </c>
      <c r="AE96" s="204" t="b">
        <v>0</v>
      </c>
      <c r="AF96" s="212" t="b">
        <v>0</v>
      </c>
      <c r="AG96" s="214" t="b">
        <v>0</v>
      </c>
      <c r="AI96" s="23">
        <f t="shared" ref="AI96:AI100" si="49">COUNTA(D96:AG96)</f>
        <v>30</v>
      </c>
      <c r="AJ96" s="23">
        <f t="shared" si="47"/>
        <v>0</v>
      </c>
      <c r="AK96" s="24">
        <f t="shared" si="48"/>
        <v>0</v>
      </c>
    </row>
    <row r="97" spans="3:38" ht="22.5" customHeight="1" x14ac:dyDescent="0.25">
      <c r="C97" s="196" t="s">
        <v>17</v>
      </c>
      <c r="D97" s="212" t="b">
        <v>0</v>
      </c>
      <c r="E97" s="213" t="b">
        <v>0</v>
      </c>
      <c r="F97" s="213" t="b">
        <v>0</v>
      </c>
      <c r="G97" s="213" t="b">
        <v>0</v>
      </c>
      <c r="H97" s="213" t="b">
        <v>0</v>
      </c>
      <c r="I97" s="213" t="b">
        <v>0</v>
      </c>
      <c r="J97" s="214" t="b">
        <v>0</v>
      </c>
      <c r="K97" s="202" t="b">
        <v>0</v>
      </c>
      <c r="L97" s="203" t="b">
        <v>0</v>
      </c>
      <c r="M97" s="203" t="b">
        <v>0</v>
      </c>
      <c r="N97" s="203" t="b">
        <v>0</v>
      </c>
      <c r="O97" s="203" t="b">
        <v>0</v>
      </c>
      <c r="P97" s="203" t="b">
        <v>0</v>
      </c>
      <c r="Q97" s="204" t="b">
        <v>0</v>
      </c>
      <c r="R97" s="212" t="b">
        <v>0</v>
      </c>
      <c r="S97" s="213" t="b">
        <v>0</v>
      </c>
      <c r="T97" s="213" t="b">
        <v>0</v>
      </c>
      <c r="U97" s="213" t="b">
        <v>0</v>
      </c>
      <c r="V97" s="213" t="b">
        <v>0</v>
      </c>
      <c r="W97" s="213" t="b">
        <v>0</v>
      </c>
      <c r="X97" s="214" t="b">
        <v>0</v>
      </c>
      <c r="Y97" s="202" t="b">
        <v>0</v>
      </c>
      <c r="Z97" s="203" t="b">
        <v>0</v>
      </c>
      <c r="AA97" s="203" t="b">
        <v>0</v>
      </c>
      <c r="AB97" s="203" t="b">
        <v>0</v>
      </c>
      <c r="AC97" s="203" t="b">
        <v>0</v>
      </c>
      <c r="AD97" s="203" t="b">
        <v>0</v>
      </c>
      <c r="AE97" s="204" t="b">
        <v>0</v>
      </c>
      <c r="AF97" s="212" t="b">
        <v>0</v>
      </c>
      <c r="AG97" s="214" t="b">
        <v>0</v>
      </c>
      <c r="AI97" s="23">
        <f t="shared" si="49"/>
        <v>30</v>
      </c>
      <c r="AJ97" s="23">
        <f t="shared" si="47"/>
        <v>0</v>
      </c>
      <c r="AK97" s="24">
        <f t="shared" si="48"/>
        <v>0</v>
      </c>
    </row>
    <row r="98" spans="3:38" ht="22.5" customHeight="1" x14ac:dyDescent="0.25">
      <c r="C98" s="196" t="s">
        <v>19</v>
      </c>
      <c r="D98" s="212" t="b">
        <v>0</v>
      </c>
      <c r="E98" s="213" t="b">
        <v>0</v>
      </c>
      <c r="F98" s="213" t="b">
        <v>0</v>
      </c>
      <c r="G98" s="213" t="b">
        <v>0</v>
      </c>
      <c r="H98" s="213" t="b">
        <v>0</v>
      </c>
      <c r="I98" s="213" t="b">
        <v>0</v>
      </c>
      <c r="J98" s="214" t="b">
        <v>0</v>
      </c>
      <c r="K98" s="202" t="b">
        <v>0</v>
      </c>
      <c r="L98" s="203" t="b">
        <v>0</v>
      </c>
      <c r="M98" s="203" t="b">
        <v>0</v>
      </c>
      <c r="N98" s="203" t="b">
        <v>0</v>
      </c>
      <c r="O98" s="203" t="b">
        <v>0</v>
      </c>
      <c r="P98" s="203" t="b">
        <v>0</v>
      </c>
      <c r="Q98" s="204" t="b">
        <v>0</v>
      </c>
      <c r="R98" s="212" t="b">
        <v>0</v>
      </c>
      <c r="S98" s="213" t="b">
        <v>0</v>
      </c>
      <c r="T98" s="213" t="b">
        <v>0</v>
      </c>
      <c r="U98" s="213" t="b">
        <v>0</v>
      </c>
      <c r="V98" s="213" t="b">
        <v>0</v>
      </c>
      <c r="W98" s="213" t="b">
        <v>0</v>
      </c>
      <c r="X98" s="214" t="b">
        <v>0</v>
      </c>
      <c r="Y98" s="202" t="b">
        <v>0</v>
      </c>
      <c r="Z98" s="203" t="b">
        <v>0</v>
      </c>
      <c r="AA98" s="203" t="b">
        <v>0</v>
      </c>
      <c r="AB98" s="203" t="b">
        <v>0</v>
      </c>
      <c r="AC98" s="203" t="b">
        <v>0</v>
      </c>
      <c r="AD98" s="203" t="b">
        <v>0</v>
      </c>
      <c r="AE98" s="204" t="b">
        <v>0</v>
      </c>
      <c r="AF98" s="212" t="b">
        <v>0</v>
      </c>
      <c r="AG98" s="214" t="b">
        <v>0</v>
      </c>
      <c r="AI98" s="23">
        <f t="shared" si="49"/>
        <v>30</v>
      </c>
      <c r="AJ98" s="23">
        <f t="shared" si="47"/>
        <v>0</v>
      </c>
      <c r="AK98" s="24">
        <f t="shared" si="48"/>
        <v>0</v>
      </c>
    </row>
    <row r="99" spans="3:38" ht="22.5" customHeight="1" x14ac:dyDescent="0.25">
      <c r="C99" s="196" t="s">
        <v>20</v>
      </c>
      <c r="D99" s="212" t="b">
        <v>0</v>
      </c>
      <c r="E99" s="213" t="b">
        <v>0</v>
      </c>
      <c r="F99" s="213" t="b">
        <v>0</v>
      </c>
      <c r="G99" s="213" t="b">
        <v>0</v>
      </c>
      <c r="H99" s="213" t="b">
        <v>0</v>
      </c>
      <c r="I99" s="213" t="b">
        <v>0</v>
      </c>
      <c r="J99" s="214" t="b">
        <v>0</v>
      </c>
      <c r="K99" s="202" t="b">
        <v>0</v>
      </c>
      <c r="L99" s="203" t="b">
        <v>0</v>
      </c>
      <c r="M99" s="203" t="b">
        <v>0</v>
      </c>
      <c r="N99" s="203" t="b">
        <v>0</v>
      </c>
      <c r="O99" s="203" t="b">
        <v>0</v>
      </c>
      <c r="P99" s="203" t="b">
        <v>0</v>
      </c>
      <c r="Q99" s="204" t="b">
        <v>0</v>
      </c>
      <c r="R99" s="212" t="b">
        <v>0</v>
      </c>
      <c r="S99" s="213" t="b">
        <v>0</v>
      </c>
      <c r="T99" s="213" t="b">
        <v>0</v>
      </c>
      <c r="U99" s="213" t="b">
        <v>0</v>
      </c>
      <c r="V99" s="213" t="b">
        <v>0</v>
      </c>
      <c r="W99" s="213" t="b">
        <v>0</v>
      </c>
      <c r="X99" s="214" t="b">
        <v>0</v>
      </c>
      <c r="Y99" s="202" t="b">
        <v>0</v>
      </c>
      <c r="Z99" s="203" t="b">
        <v>0</v>
      </c>
      <c r="AA99" s="203" t="b">
        <v>0</v>
      </c>
      <c r="AB99" s="203" t="b">
        <v>0</v>
      </c>
      <c r="AC99" s="203" t="b">
        <v>0</v>
      </c>
      <c r="AD99" s="203" t="b">
        <v>0</v>
      </c>
      <c r="AE99" s="204" t="b">
        <v>0</v>
      </c>
      <c r="AF99" s="212" t="b">
        <v>0</v>
      </c>
      <c r="AG99" s="214" t="b">
        <v>0</v>
      </c>
      <c r="AI99" s="23">
        <f t="shared" si="49"/>
        <v>30</v>
      </c>
      <c r="AJ99" s="23">
        <f t="shared" si="47"/>
        <v>0</v>
      </c>
      <c r="AK99" s="24">
        <f t="shared" si="48"/>
        <v>0</v>
      </c>
    </row>
    <row r="100" spans="3:38" ht="22.5" customHeight="1" x14ac:dyDescent="0.25">
      <c r="C100" s="197" t="s">
        <v>18</v>
      </c>
      <c r="D100" s="215" t="b">
        <v>0</v>
      </c>
      <c r="E100" s="216" t="b">
        <v>0</v>
      </c>
      <c r="F100" s="216" t="b">
        <v>0</v>
      </c>
      <c r="G100" s="216" t="b">
        <v>0</v>
      </c>
      <c r="H100" s="216" t="b">
        <v>0</v>
      </c>
      <c r="I100" s="216" t="b">
        <v>0</v>
      </c>
      <c r="J100" s="217" t="b">
        <v>0</v>
      </c>
      <c r="K100" s="205" t="b">
        <v>0</v>
      </c>
      <c r="L100" s="206" t="b">
        <v>0</v>
      </c>
      <c r="M100" s="206" t="b">
        <v>0</v>
      </c>
      <c r="N100" s="206" t="b">
        <v>0</v>
      </c>
      <c r="O100" s="206" t="b">
        <v>0</v>
      </c>
      <c r="P100" s="206" t="b">
        <v>0</v>
      </c>
      <c r="Q100" s="207" t="b">
        <v>0</v>
      </c>
      <c r="R100" s="215" t="b">
        <v>0</v>
      </c>
      <c r="S100" s="216" t="b">
        <v>0</v>
      </c>
      <c r="T100" s="216" t="b">
        <v>0</v>
      </c>
      <c r="U100" s="216" t="b">
        <v>0</v>
      </c>
      <c r="V100" s="216" t="b">
        <v>0</v>
      </c>
      <c r="W100" s="216" t="b">
        <v>0</v>
      </c>
      <c r="X100" s="217" t="b">
        <v>0</v>
      </c>
      <c r="Y100" s="205" t="b">
        <v>0</v>
      </c>
      <c r="Z100" s="206" t="b">
        <v>0</v>
      </c>
      <c r="AA100" s="206" t="b">
        <v>0</v>
      </c>
      <c r="AB100" s="206" t="b">
        <v>0</v>
      </c>
      <c r="AC100" s="206" t="b">
        <v>0</v>
      </c>
      <c r="AD100" s="206" t="b">
        <v>0</v>
      </c>
      <c r="AE100" s="207" t="b">
        <v>0</v>
      </c>
      <c r="AF100" s="215" t="b">
        <v>0</v>
      </c>
      <c r="AG100" s="217" t="b">
        <v>0</v>
      </c>
      <c r="AI100" s="23">
        <f t="shared" si="49"/>
        <v>30</v>
      </c>
      <c r="AJ100" s="23">
        <f t="shared" si="47"/>
        <v>0</v>
      </c>
      <c r="AK100" s="24">
        <f t="shared" si="48"/>
        <v>0</v>
      </c>
    </row>
    <row r="101" spans="3:38" ht="22.5" customHeight="1" x14ac:dyDescent="0.25">
      <c r="D101">
        <f>COUNTIF(D94:D100, TRUE)</f>
        <v>0</v>
      </c>
      <c r="E101">
        <f t="shared" ref="E101" si="50">COUNTIF(E94:E100, TRUE)</f>
        <v>0</v>
      </c>
      <c r="F101">
        <f t="shared" ref="F101" si="51">COUNTIF(F94:F100, TRUE)</f>
        <v>0</v>
      </c>
      <c r="G101">
        <f t="shared" ref="G101" si="52">COUNTIF(G94:G100, TRUE)</f>
        <v>0</v>
      </c>
      <c r="H101">
        <f t="shared" ref="H101" si="53">COUNTIF(H94:H100, TRUE)</f>
        <v>0</v>
      </c>
      <c r="I101">
        <f t="shared" ref="I101" si="54">COUNTIF(I94:I100, TRUE)</f>
        <v>0</v>
      </c>
      <c r="J101">
        <f t="shared" ref="J101" si="55">COUNTIF(J94:J100, TRUE)</f>
        <v>0</v>
      </c>
      <c r="K101">
        <f t="shared" ref="K101" si="56">COUNTIF(K94:K100, TRUE)</f>
        <v>0</v>
      </c>
      <c r="L101">
        <f t="shared" ref="L101" si="57">COUNTIF(L94:L100, TRUE)</f>
        <v>0</v>
      </c>
      <c r="M101">
        <f t="shared" ref="M101" si="58">COUNTIF(M94:M100, TRUE)</f>
        <v>0</v>
      </c>
      <c r="N101">
        <f t="shared" ref="N101" si="59">COUNTIF(N94:N100, TRUE)</f>
        <v>0</v>
      </c>
      <c r="O101">
        <f t="shared" ref="O101" si="60">COUNTIF(O94:O100, TRUE)</f>
        <v>0</v>
      </c>
      <c r="P101">
        <f t="shared" ref="P101" si="61">COUNTIF(P94:P100, TRUE)</f>
        <v>0</v>
      </c>
      <c r="Q101">
        <f t="shared" ref="Q101" si="62">COUNTIF(Q94:Q100, TRUE)</f>
        <v>0</v>
      </c>
      <c r="R101">
        <f t="shared" ref="R101" si="63">COUNTIF(R94:R100, TRUE)</f>
        <v>0</v>
      </c>
      <c r="S101">
        <f t="shared" ref="S101" si="64">COUNTIF(S94:S100, TRUE)</f>
        <v>0</v>
      </c>
      <c r="T101">
        <f t="shared" ref="T101" si="65">COUNTIF(T94:T100, TRUE)</f>
        <v>0</v>
      </c>
      <c r="U101">
        <f t="shared" ref="U101" si="66">COUNTIF(U94:U100, TRUE)</f>
        <v>0</v>
      </c>
      <c r="V101">
        <f t="shared" ref="V101" si="67">COUNTIF(V94:V100, TRUE)</f>
        <v>0</v>
      </c>
      <c r="W101">
        <f t="shared" ref="W101" si="68">COUNTIF(W94:W100, TRUE)</f>
        <v>0</v>
      </c>
      <c r="X101">
        <f t="shared" ref="X101" si="69">COUNTIF(X94:X100, TRUE)</f>
        <v>0</v>
      </c>
      <c r="Y101">
        <f t="shared" ref="Y101" si="70">COUNTIF(Y94:Y100, TRUE)</f>
        <v>0</v>
      </c>
      <c r="Z101">
        <f t="shared" ref="Z101" si="71">COUNTIF(Z94:Z100, TRUE)</f>
        <v>0</v>
      </c>
      <c r="AA101">
        <f t="shared" ref="AA101" si="72">COUNTIF(AA94:AA100, TRUE)</f>
        <v>0</v>
      </c>
      <c r="AB101">
        <f t="shared" ref="AB101" si="73">COUNTIF(AB94:AB100, TRUE)</f>
        <v>0</v>
      </c>
      <c r="AC101">
        <f t="shared" ref="AC101" si="74">COUNTIF(AC94:AC100, TRUE)</f>
        <v>0</v>
      </c>
      <c r="AD101">
        <f t="shared" ref="AD101" si="75">COUNTIF(AD94:AD100, TRUE)</f>
        <v>0</v>
      </c>
      <c r="AE101">
        <f t="shared" ref="AE101" si="76">COUNTIF(AE94:AE100, TRUE)</f>
        <v>0</v>
      </c>
      <c r="AF101">
        <f t="shared" ref="AF101" si="77">COUNTIF(AF94:AF100, TRUE)</f>
        <v>0</v>
      </c>
      <c r="AG101">
        <f t="shared" ref="AG101" si="78">COUNTIF(AG94:AG100, TRUE)</f>
        <v>0</v>
      </c>
    </row>
    <row r="105" spans="3:38" ht="22.5" customHeight="1" x14ac:dyDescent="0.25">
      <c r="C105" s="243"/>
      <c r="D105" s="579" t="s">
        <v>48</v>
      </c>
      <c r="E105" s="579"/>
      <c r="F105" s="579"/>
      <c r="G105" s="579"/>
      <c r="H105" s="579"/>
      <c r="I105" s="579"/>
      <c r="J105" s="579"/>
      <c r="K105" s="244"/>
      <c r="L105" s="244"/>
      <c r="M105" s="244"/>
      <c r="N105" s="245" t="s">
        <v>21</v>
      </c>
      <c r="O105" s="244"/>
      <c r="P105" s="244"/>
      <c r="Q105" s="244"/>
      <c r="R105" s="244"/>
      <c r="S105" s="245" t="s">
        <v>23</v>
      </c>
      <c r="T105" s="244"/>
      <c r="U105" s="246"/>
      <c r="V105" s="244"/>
      <c r="W105" s="244"/>
      <c r="X105" s="245" t="s">
        <v>27</v>
      </c>
      <c r="Y105" s="244"/>
      <c r="Z105" s="244"/>
      <c r="AA105" s="244"/>
      <c r="AB105" s="245" t="s">
        <v>28</v>
      </c>
      <c r="AC105" s="244"/>
      <c r="AD105" s="244"/>
      <c r="AE105" s="244"/>
      <c r="AF105" s="244"/>
      <c r="AG105" s="244"/>
      <c r="AH105" s="247"/>
    </row>
    <row r="106" spans="3:38" ht="22.5" customHeight="1" x14ac:dyDescent="0.25">
      <c r="C106" s="248"/>
      <c r="D106" s="580"/>
      <c r="E106" s="580"/>
      <c r="F106" s="580"/>
      <c r="G106" s="580"/>
      <c r="H106" s="580"/>
      <c r="I106" s="580"/>
      <c r="J106" s="580"/>
      <c r="K106" s="249"/>
      <c r="L106" s="249"/>
      <c r="M106" s="249"/>
      <c r="N106" s="250">
        <f>COUNTA(C111:C117)</f>
        <v>7</v>
      </c>
      <c r="O106" s="249"/>
      <c r="P106" s="249"/>
      <c r="Q106" s="249"/>
      <c r="R106" s="249"/>
      <c r="S106" s="250">
        <f>COUNTIF(D111:AH117,TRUE)</f>
        <v>0</v>
      </c>
      <c r="T106" s="249"/>
      <c r="U106" s="251"/>
      <c r="V106" s="249"/>
      <c r="W106" s="581">
        <f>COUNTIF(D111:AH117, TRUE)/(COUNTA(D110:AH110)*COUNTA(C111:C117))</f>
        <v>0</v>
      </c>
      <c r="X106" s="581"/>
      <c r="Y106" s="581"/>
      <c r="Z106" s="249"/>
      <c r="AA106" s="249"/>
      <c r="AB106" s="252">
        <f>COUNTIF(D111:AH117, TRUE)/(COUNTA(D110:AH110)*COUNTA(C111:C117))</f>
        <v>0</v>
      </c>
      <c r="AC106" s="249"/>
      <c r="AD106" s="249"/>
      <c r="AE106" s="249"/>
      <c r="AF106" s="249"/>
      <c r="AG106" s="249"/>
      <c r="AH106" s="253"/>
    </row>
    <row r="108" spans="3:38" ht="22.5" customHeight="1" x14ac:dyDescent="0.25">
      <c r="C108" s="582" t="s">
        <v>1</v>
      </c>
      <c r="D108" s="585" t="s">
        <v>9</v>
      </c>
      <c r="E108" s="586"/>
      <c r="F108" s="586"/>
      <c r="G108" s="586"/>
      <c r="H108" s="586"/>
      <c r="I108" s="586"/>
      <c r="J108" s="587"/>
      <c r="K108" s="588" t="s">
        <v>10</v>
      </c>
      <c r="L108" s="589"/>
      <c r="M108" s="589"/>
      <c r="N108" s="589"/>
      <c r="O108" s="589"/>
      <c r="P108" s="589"/>
      <c r="Q108" s="590"/>
      <c r="R108" s="585" t="s">
        <v>11</v>
      </c>
      <c r="S108" s="586"/>
      <c r="T108" s="586"/>
      <c r="U108" s="586"/>
      <c r="V108" s="586"/>
      <c r="W108" s="586"/>
      <c r="X108" s="587"/>
      <c r="Y108" s="588" t="s">
        <v>12</v>
      </c>
      <c r="Z108" s="589"/>
      <c r="AA108" s="589"/>
      <c r="AB108" s="589"/>
      <c r="AC108" s="589"/>
      <c r="AD108" s="589"/>
      <c r="AE108" s="590"/>
      <c r="AF108" s="585" t="s">
        <v>13</v>
      </c>
      <c r="AG108" s="586"/>
      <c r="AH108" s="587"/>
      <c r="AJ108" s="545" t="s">
        <v>24</v>
      </c>
      <c r="AK108" s="546"/>
      <c r="AL108" s="547"/>
    </row>
    <row r="109" spans="3:38" ht="22.5" customHeight="1" x14ac:dyDescent="0.25">
      <c r="C109" s="583"/>
      <c r="D109" s="222" t="s">
        <v>6</v>
      </c>
      <c r="E109" s="222" t="s">
        <v>7</v>
      </c>
      <c r="F109" s="222" t="s">
        <v>8</v>
      </c>
      <c r="G109" s="222" t="s">
        <v>2</v>
      </c>
      <c r="H109" s="222" t="s">
        <v>3</v>
      </c>
      <c r="I109" s="222" t="s">
        <v>4</v>
      </c>
      <c r="J109" s="222" t="s">
        <v>5</v>
      </c>
      <c r="K109" s="232" t="s">
        <v>6</v>
      </c>
      <c r="L109" s="232" t="s">
        <v>7</v>
      </c>
      <c r="M109" s="232" t="s">
        <v>8</v>
      </c>
      <c r="N109" s="232" t="s">
        <v>2</v>
      </c>
      <c r="O109" s="232" t="s">
        <v>3</v>
      </c>
      <c r="P109" s="232" t="s">
        <v>4</v>
      </c>
      <c r="Q109" s="232" t="s">
        <v>5</v>
      </c>
      <c r="R109" s="222" t="s">
        <v>6</v>
      </c>
      <c r="S109" s="222" t="s">
        <v>7</v>
      </c>
      <c r="T109" s="222" t="s">
        <v>8</v>
      </c>
      <c r="U109" s="222" t="s">
        <v>2</v>
      </c>
      <c r="V109" s="222" t="s">
        <v>3</v>
      </c>
      <c r="W109" s="222" t="s">
        <v>4</v>
      </c>
      <c r="X109" s="222" t="s">
        <v>5</v>
      </c>
      <c r="Y109" s="232" t="s">
        <v>6</v>
      </c>
      <c r="Z109" s="232" t="s">
        <v>7</v>
      </c>
      <c r="AA109" s="232" t="s">
        <v>8</v>
      </c>
      <c r="AB109" s="232" t="s">
        <v>2</v>
      </c>
      <c r="AC109" s="232" t="s">
        <v>3</v>
      </c>
      <c r="AD109" s="232" t="s">
        <v>4</v>
      </c>
      <c r="AE109" s="232" t="s">
        <v>5</v>
      </c>
      <c r="AF109" s="222" t="s">
        <v>6</v>
      </c>
      <c r="AG109" s="222" t="s">
        <v>7</v>
      </c>
      <c r="AH109" s="222" t="s">
        <v>8</v>
      </c>
      <c r="AJ109" s="548"/>
      <c r="AK109" s="549"/>
      <c r="AL109" s="550"/>
    </row>
    <row r="110" spans="3:38" ht="22.5" customHeight="1" x14ac:dyDescent="0.25">
      <c r="C110" s="584"/>
      <c r="D110" s="222">
        <v>1</v>
      </c>
      <c r="E110" s="222">
        <v>2</v>
      </c>
      <c r="F110" s="222">
        <v>3</v>
      </c>
      <c r="G110" s="222">
        <v>4</v>
      </c>
      <c r="H110" s="222">
        <v>5</v>
      </c>
      <c r="I110" s="222">
        <v>6</v>
      </c>
      <c r="J110" s="222">
        <v>7</v>
      </c>
      <c r="K110" s="232">
        <v>8</v>
      </c>
      <c r="L110" s="232">
        <v>9</v>
      </c>
      <c r="M110" s="232">
        <v>10</v>
      </c>
      <c r="N110" s="232">
        <v>11</v>
      </c>
      <c r="O110" s="232">
        <v>12</v>
      </c>
      <c r="P110" s="232">
        <v>13</v>
      </c>
      <c r="Q110" s="232">
        <v>14</v>
      </c>
      <c r="R110" s="222">
        <v>15</v>
      </c>
      <c r="S110" s="222">
        <v>16</v>
      </c>
      <c r="T110" s="222">
        <v>17</v>
      </c>
      <c r="U110" s="222">
        <v>18</v>
      </c>
      <c r="V110" s="222">
        <v>19</v>
      </c>
      <c r="W110" s="222">
        <v>20</v>
      </c>
      <c r="X110" s="222">
        <v>21</v>
      </c>
      <c r="Y110" s="232">
        <v>22</v>
      </c>
      <c r="Z110" s="232">
        <v>23</v>
      </c>
      <c r="AA110" s="232">
        <v>24</v>
      </c>
      <c r="AB110" s="232">
        <v>25</v>
      </c>
      <c r="AC110" s="232">
        <v>26</v>
      </c>
      <c r="AD110" s="232">
        <v>27</v>
      </c>
      <c r="AE110" s="232">
        <v>28</v>
      </c>
      <c r="AF110" s="222">
        <v>29</v>
      </c>
      <c r="AG110" s="222">
        <v>30</v>
      </c>
      <c r="AH110" s="222">
        <v>31</v>
      </c>
      <c r="AJ110" s="242" t="s">
        <v>25</v>
      </c>
      <c r="AK110" s="242" t="s">
        <v>26</v>
      </c>
      <c r="AL110" s="242" t="s">
        <v>27</v>
      </c>
    </row>
    <row r="111" spans="3:38" ht="22.5" customHeight="1" x14ac:dyDescent="0.25">
      <c r="C111" s="219" t="s">
        <v>14</v>
      </c>
      <c r="D111" s="223" t="b">
        <v>0</v>
      </c>
      <c r="E111" s="224" t="b">
        <v>0</v>
      </c>
      <c r="F111" s="224" t="b">
        <v>0</v>
      </c>
      <c r="G111" s="224" t="b">
        <v>0</v>
      </c>
      <c r="H111" s="224" t="b">
        <v>0</v>
      </c>
      <c r="I111" s="224" t="b">
        <v>0</v>
      </c>
      <c r="J111" s="225" t="b">
        <v>0</v>
      </c>
      <c r="K111" s="233" t="b">
        <v>0</v>
      </c>
      <c r="L111" s="234" t="b">
        <v>0</v>
      </c>
      <c r="M111" s="234" t="b">
        <v>0</v>
      </c>
      <c r="N111" s="234" t="b">
        <v>0</v>
      </c>
      <c r="O111" s="234" t="b">
        <v>0</v>
      </c>
      <c r="P111" s="234" t="b">
        <v>0</v>
      </c>
      <c r="Q111" s="235" t="b">
        <v>0</v>
      </c>
      <c r="R111" s="223" t="b">
        <v>0</v>
      </c>
      <c r="S111" s="224" t="b">
        <v>0</v>
      </c>
      <c r="T111" s="224" t="b">
        <v>0</v>
      </c>
      <c r="U111" s="224" t="b">
        <v>0</v>
      </c>
      <c r="V111" s="224" t="b">
        <v>0</v>
      </c>
      <c r="W111" s="224" t="b">
        <v>0</v>
      </c>
      <c r="X111" s="225" t="b">
        <v>0</v>
      </c>
      <c r="Y111" s="233" t="b">
        <v>0</v>
      </c>
      <c r="Z111" s="234" t="b">
        <v>0</v>
      </c>
      <c r="AA111" s="234" t="b">
        <v>0</v>
      </c>
      <c r="AB111" s="234" t="b">
        <v>0</v>
      </c>
      <c r="AC111" s="234" t="b">
        <v>0</v>
      </c>
      <c r="AD111" s="234" t="b">
        <v>0</v>
      </c>
      <c r="AE111" s="235" t="b">
        <v>0</v>
      </c>
      <c r="AF111" s="223" t="b">
        <v>0</v>
      </c>
      <c r="AG111" s="224" t="b">
        <v>0</v>
      </c>
      <c r="AH111" s="225" t="b">
        <v>0</v>
      </c>
      <c r="AJ111" s="23">
        <f>COUNTA(D111:AH111)</f>
        <v>31</v>
      </c>
      <c r="AK111" s="23">
        <f>COUNTIF(D111:AH111, TRUE)</f>
        <v>0</v>
      </c>
      <c r="AL111" s="24">
        <f>AK111/AJ111</f>
        <v>0</v>
      </c>
    </row>
    <row r="112" spans="3:38" ht="22.5" customHeight="1" x14ac:dyDescent="0.25">
      <c r="C112" s="220" t="s">
        <v>15</v>
      </c>
      <c r="D112" s="226" t="b">
        <v>0</v>
      </c>
      <c r="E112" s="227" t="b">
        <v>0</v>
      </c>
      <c r="F112" s="227" t="b">
        <v>0</v>
      </c>
      <c r="G112" s="227" t="b">
        <v>0</v>
      </c>
      <c r="H112" s="227" t="b">
        <v>0</v>
      </c>
      <c r="I112" s="227" t="b">
        <v>0</v>
      </c>
      <c r="J112" s="228" t="b">
        <v>0</v>
      </c>
      <c r="K112" s="236" t="b">
        <v>0</v>
      </c>
      <c r="L112" s="237" t="b">
        <v>0</v>
      </c>
      <c r="M112" s="237" t="b">
        <v>0</v>
      </c>
      <c r="N112" s="237" t="b">
        <v>0</v>
      </c>
      <c r="O112" s="237" t="b">
        <v>0</v>
      </c>
      <c r="P112" s="237" t="b">
        <v>0</v>
      </c>
      <c r="Q112" s="238" t="b">
        <v>0</v>
      </c>
      <c r="R112" s="226" t="b">
        <v>0</v>
      </c>
      <c r="S112" s="227" t="b">
        <v>0</v>
      </c>
      <c r="T112" s="227" t="b">
        <v>0</v>
      </c>
      <c r="U112" s="227" t="b">
        <v>0</v>
      </c>
      <c r="V112" s="227" t="b">
        <v>0</v>
      </c>
      <c r="W112" s="227" t="b">
        <v>0</v>
      </c>
      <c r="X112" s="228" t="b">
        <v>0</v>
      </c>
      <c r="Y112" s="236" t="b">
        <v>0</v>
      </c>
      <c r="Z112" s="237" t="b">
        <v>0</v>
      </c>
      <c r="AA112" s="237" t="b">
        <v>0</v>
      </c>
      <c r="AB112" s="237" t="b">
        <v>0</v>
      </c>
      <c r="AC112" s="237" t="b">
        <v>0</v>
      </c>
      <c r="AD112" s="237" t="b">
        <v>0</v>
      </c>
      <c r="AE112" s="238" t="b">
        <v>0</v>
      </c>
      <c r="AF112" s="226" t="b">
        <v>0</v>
      </c>
      <c r="AG112" s="227" t="b">
        <v>0</v>
      </c>
      <c r="AH112" s="228" t="b">
        <v>0</v>
      </c>
      <c r="AJ112" s="23">
        <f t="shared" ref="AJ112:AJ117" si="79">COUNTA(D112:AH112)</f>
        <v>31</v>
      </c>
      <c r="AK112" s="23">
        <f t="shared" ref="AK112" si="80">COUNTIF(D112:AH112, TRUE)</f>
        <v>0</v>
      </c>
      <c r="AL112" s="24">
        <f t="shared" ref="AL112:AL117" si="81">AK112/AJ112</f>
        <v>0</v>
      </c>
    </row>
    <row r="113" spans="3:38" ht="22.5" customHeight="1" x14ac:dyDescent="0.25">
      <c r="C113" s="220" t="s">
        <v>16</v>
      </c>
      <c r="D113" s="226" t="b">
        <v>0</v>
      </c>
      <c r="E113" s="227" t="b">
        <v>0</v>
      </c>
      <c r="F113" s="227" t="b">
        <v>0</v>
      </c>
      <c r="G113" s="227" t="b">
        <v>0</v>
      </c>
      <c r="H113" s="227" t="b">
        <v>0</v>
      </c>
      <c r="I113" s="227" t="b">
        <v>0</v>
      </c>
      <c r="J113" s="228" t="b">
        <v>0</v>
      </c>
      <c r="K113" s="236" t="b">
        <v>0</v>
      </c>
      <c r="L113" s="237" t="b">
        <v>0</v>
      </c>
      <c r="M113" s="237" t="b">
        <v>0</v>
      </c>
      <c r="N113" s="237" t="b">
        <v>0</v>
      </c>
      <c r="O113" s="237" t="b">
        <v>0</v>
      </c>
      <c r="P113" s="237" t="b">
        <v>0</v>
      </c>
      <c r="Q113" s="238" t="b">
        <v>0</v>
      </c>
      <c r="R113" s="226" t="b">
        <v>0</v>
      </c>
      <c r="S113" s="227" t="b">
        <v>0</v>
      </c>
      <c r="T113" s="227" t="b">
        <v>0</v>
      </c>
      <c r="U113" s="227" t="b">
        <v>0</v>
      </c>
      <c r="V113" s="227" t="b">
        <v>0</v>
      </c>
      <c r="W113" s="227" t="b">
        <v>0</v>
      </c>
      <c r="X113" s="228" t="b">
        <v>0</v>
      </c>
      <c r="Y113" s="236" t="b">
        <v>0</v>
      </c>
      <c r="Z113" s="237" t="b">
        <v>0</v>
      </c>
      <c r="AA113" s="237" t="b">
        <v>0</v>
      </c>
      <c r="AB113" s="237" t="b">
        <v>0</v>
      </c>
      <c r="AC113" s="237" t="b">
        <v>0</v>
      </c>
      <c r="AD113" s="237" t="b">
        <v>0</v>
      </c>
      <c r="AE113" s="238" t="b">
        <v>0</v>
      </c>
      <c r="AF113" s="226" t="b">
        <v>0</v>
      </c>
      <c r="AG113" s="227" t="b">
        <v>0</v>
      </c>
      <c r="AH113" s="228" t="b">
        <v>0</v>
      </c>
      <c r="AJ113" s="23">
        <f t="shared" si="79"/>
        <v>31</v>
      </c>
      <c r="AK113" s="23">
        <f>COUNTIF(D113:AH113, TRUE)</f>
        <v>0</v>
      </c>
      <c r="AL113" s="24">
        <f t="shared" si="81"/>
        <v>0</v>
      </c>
    </row>
    <row r="114" spans="3:38" ht="22.5" customHeight="1" x14ac:dyDescent="0.25">
      <c r="C114" s="220" t="s">
        <v>17</v>
      </c>
      <c r="D114" s="226" t="b">
        <v>0</v>
      </c>
      <c r="E114" s="227" t="b">
        <v>0</v>
      </c>
      <c r="F114" s="227" t="b">
        <v>0</v>
      </c>
      <c r="G114" s="227" t="b">
        <v>0</v>
      </c>
      <c r="H114" s="227" t="b">
        <v>0</v>
      </c>
      <c r="I114" s="227" t="b">
        <v>0</v>
      </c>
      <c r="J114" s="228" t="b">
        <v>0</v>
      </c>
      <c r="K114" s="236" t="b">
        <v>0</v>
      </c>
      <c r="L114" s="237" t="b">
        <v>0</v>
      </c>
      <c r="M114" s="237" t="b">
        <v>0</v>
      </c>
      <c r="N114" s="237" t="b">
        <v>0</v>
      </c>
      <c r="O114" s="237" t="b">
        <v>0</v>
      </c>
      <c r="P114" s="237" t="b">
        <v>0</v>
      </c>
      <c r="Q114" s="238" t="b">
        <v>0</v>
      </c>
      <c r="R114" s="226" t="b">
        <v>0</v>
      </c>
      <c r="S114" s="227" t="b">
        <v>0</v>
      </c>
      <c r="T114" s="227" t="b">
        <v>0</v>
      </c>
      <c r="U114" s="227" t="b">
        <v>0</v>
      </c>
      <c r="V114" s="227" t="b">
        <v>0</v>
      </c>
      <c r="W114" s="227" t="b">
        <v>0</v>
      </c>
      <c r="X114" s="228" t="b">
        <v>0</v>
      </c>
      <c r="Y114" s="236" t="b">
        <v>0</v>
      </c>
      <c r="Z114" s="237" t="b">
        <v>0</v>
      </c>
      <c r="AA114" s="237" t="b">
        <v>0</v>
      </c>
      <c r="AB114" s="237" t="b">
        <v>0</v>
      </c>
      <c r="AC114" s="237" t="b">
        <v>0</v>
      </c>
      <c r="AD114" s="237" t="b">
        <v>0</v>
      </c>
      <c r="AE114" s="238" t="b">
        <v>0</v>
      </c>
      <c r="AF114" s="226" t="b">
        <v>0</v>
      </c>
      <c r="AG114" s="227" t="b">
        <v>0</v>
      </c>
      <c r="AH114" s="228" t="b">
        <v>0</v>
      </c>
      <c r="AJ114" s="23">
        <f t="shared" si="79"/>
        <v>31</v>
      </c>
      <c r="AK114" s="23">
        <f t="shared" ref="AK114:AK117" si="82">COUNTIF(D114:AH114, TRUE)</f>
        <v>0</v>
      </c>
      <c r="AL114" s="24">
        <f t="shared" si="81"/>
        <v>0</v>
      </c>
    </row>
    <row r="115" spans="3:38" ht="22.5" customHeight="1" x14ac:dyDescent="0.25">
      <c r="C115" s="220" t="s">
        <v>19</v>
      </c>
      <c r="D115" s="226" t="b">
        <v>0</v>
      </c>
      <c r="E115" s="227" t="b">
        <v>0</v>
      </c>
      <c r="F115" s="227" t="b">
        <v>0</v>
      </c>
      <c r="G115" s="227" t="b">
        <v>0</v>
      </c>
      <c r="H115" s="227" t="b">
        <v>0</v>
      </c>
      <c r="I115" s="227" t="b">
        <v>0</v>
      </c>
      <c r="J115" s="228" t="b">
        <v>0</v>
      </c>
      <c r="K115" s="236" t="b">
        <v>0</v>
      </c>
      <c r="L115" s="237" t="b">
        <v>0</v>
      </c>
      <c r="M115" s="237" t="b">
        <v>0</v>
      </c>
      <c r="N115" s="237" t="b">
        <v>0</v>
      </c>
      <c r="O115" s="237" t="b">
        <v>0</v>
      </c>
      <c r="P115" s="237" t="b">
        <v>0</v>
      </c>
      <c r="Q115" s="238" t="b">
        <v>0</v>
      </c>
      <c r="R115" s="226" t="b">
        <v>0</v>
      </c>
      <c r="S115" s="227" t="b">
        <v>0</v>
      </c>
      <c r="T115" s="227" t="b">
        <v>0</v>
      </c>
      <c r="U115" s="227" t="b">
        <v>0</v>
      </c>
      <c r="V115" s="227" t="b">
        <v>0</v>
      </c>
      <c r="W115" s="227" t="b">
        <v>0</v>
      </c>
      <c r="X115" s="228" t="b">
        <v>0</v>
      </c>
      <c r="Y115" s="236" t="b">
        <v>0</v>
      </c>
      <c r="Z115" s="237" t="b">
        <v>0</v>
      </c>
      <c r="AA115" s="237" t="b">
        <v>0</v>
      </c>
      <c r="AB115" s="237" t="b">
        <v>0</v>
      </c>
      <c r="AC115" s="237" t="b">
        <v>0</v>
      </c>
      <c r="AD115" s="237" t="b">
        <v>0</v>
      </c>
      <c r="AE115" s="238" t="b">
        <v>0</v>
      </c>
      <c r="AF115" s="226" t="b">
        <v>0</v>
      </c>
      <c r="AG115" s="227" t="b">
        <v>0</v>
      </c>
      <c r="AH115" s="228" t="b">
        <v>0</v>
      </c>
      <c r="AJ115" s="23">
        <f t="shared" si="79"/>
        <v>31</v>
      </c>
      <c r="AK115" s="23">
        <f t="shared" si="82"/>
        <v>0</v>
      </c>
      <c r="AL115" s="24">
        <f t="shared" si="81"/>
        <v>0</v>
      </c>
    </row>
    <row r="116" spans="3:38" ht="22.5" customHeight="1" x14ac:dyDescent="0.25">
      <c r="C116" s="220" t="s">
        <v>20</v>
      </c>
      <c r="D116" s="226" t="b">
        <v>0</v>
      </c>
      <c r="E116" s="227" t="b">
        <v>0</v>
      </c>
      <c r="F116" s="227" t="b">
        <v>0</v>
      </c>
      <c r="G116" s="227" t="b">
        <v>0</v>
      </c>
      <c r="H116" s="227" t="b">
        <v>0</v>
      </c>
      <c r="I116" s="227" t="b">
        <v>0</v>
      </c>
      <c r="J116" s="228" t="b">
        <v>0</v>
      </c>
      <c r="K116" s="236" t="b">
        <v>0</v>
      </c>
      <c r="L116" s="237" t="b">
        <v>0</v>
      </c>
      <c r="M116" s="237" t="b">
        <v>0</v>
      </c>
      <c r="N116" s="237" t="b">
        <v>0</v>
      </c>
      <c r="O116" s="237" t="b">
        <v>0</v>
      </c>
      <c r="P116" s="237" t="b">
        <v>0</v>
      </c>
      <c r="Q116" s="238" t="b">
        <v>0</v>
      </c>
      <c r="R116" s="226" t="b">
        <v>0</v>
      </c>
      <c r="S116" s="227" t="b">
        <v>0</v>
      </c>
      <c r="T116" s="227" t="b">
        <v>0</v>
      </c>
      <c r="U116" s="227" t="b">
        <v>0</v>
      </c>
      <c r="V116" s="227" t="b">
        <v>0</v>
      </c>
      <c r="W116" s="227" t="b">
        <v>0</v>
      </c>
      <c r="X116" s="228" t="b">
        <v>0</v>
      </c>
      <c r="Y116" s="236" t="b">
        <v>0</v>
      </c>
      <c r="Z116" s="237" t="b">
        <v>0</v>
      </c>
      <c r="AA116" s="237" t="b">
        <v>0</v>
      </c>
      <c r="AB116" s="237" t="b">
        <v>0</v>
      </c>
      <c r="AC116" s="237" t="b">
        <v>0</v>
      </c>
      <c r="AD116" s="237" t="b">
        <v>0</v>
      </c>
      <c r="AE116" s="238" t="b">
        <v>0</v>
      </c>
      <c r="AF116" s="226" t="b">
        <v>0</v>
      </c>
      <c r="AG116" s="227" t="b">
        <v>0</v>
      </c>
      <c r="AH116" s="228" t="b">
        <v>0</v>
      </c>
      <c r="AJ116" s="23">
        <f t="shared" si="79"/>
        <v>31</v>
      </c>
      <c r="AK116" s="23">
        <f t="shared" si="82"/>
        <v>0</v>
      </c>
      <c r="AL116" s="24">
        <f t="shared" si="81"/>
        <v>0</v>
      </c>
    </row>
    <row r="117" spans="3:38" ht="22.5" customHeight="1" x14ac:dyDescent="0.25">
      <c r="C117" s="221" t="s">
        <v>18</v>
      </c>
      <c r="D117" s="229" t="b">
        <v>0</v>
      </c>
      <c r="E117" s="230" t="b">
        <v>0</v>
      </c>
      <c r="F117" s="230" t="b">
        <v>0</v>
      </c>
      <c r="G117" s="230" t="b">
        <v>0</v>
      </c>
      <c r="H117" s="230" t="b">
        <v>0</v>
      </c>
      <c r="I117" s="230" t="b">
        <v>0</v>
      </c>
      <c r="J117" s="231" t="b">
        <v>0</v>
      </c>
      <c r="K117" s="239" t="b">
        <v>0</v>
      </c>
      <c r="L117" s="240" t="b">
        <v>0</v>
      </c>
      <c r="M117" s="240" t="b">
        <v>0</v>
      </c>
      <c r="N117" s="240" t="b">
        <v>0</v>
      </c>
      <c r="O117" s="240" t="b">
        <v>0</v>
      </c>
      <c r="P117" s="240" t="b">
        <v>0</v>
      </c>
      <c r="Q117" s="241" t="b">
        <v>0</v>
      </c>
      <c r="R117" s="229" t="b">
        <v>0</v>
      </c>
      <c r="S117" s="230" t="b">
        <v>0</v>
      </c>
      <c r="T117" s="230" t="b">
        <v>0</v>
      </c>
      <c r="U117" s="230" t="b">
        <v>0</v>
      </c>
      <c r="V117" s="230" t="b">
        <v>0</v>
      </c>
      <c r="W117" s="230" t="b">
        <v>0</v>
      </c>
      <c r="X117" s="231" t="b">
        <v>0</v>
      </c>
      <c r="Y117" s="239" t="b">
        <v>0</v>
      </c>
      <c r="Z117" s="240" t="b">
        <v>0</v>
      </c>
      <c r="AA117" s="240" t="b">
        <v>0</v>
      </c>
      <c r="AB117" s="240" t="b">
        <v>0</v>
      </c>
      <c r="AC117" s="240" t="b">
        <v>0</v>
      </c>
      <c r="AD117" s="240" t="b">
        <v>0</v>
      </c>
      <c r="AE117" s="241" t="b">
        <v>0</v>
      </c>
      <c r="AF117" s="229" t="b">
        <v>0</v>
      </c>
      <c r="AG117" s="230" t="b">
        <v>0</v>
      </c>
      <c r="AH117" s="231" t="b">
        <v>0</v>
      </c>
      <c r="AJ117" s="23">
        <f t="shared" si="79"/>
        <v>31</v>
      </c>
      <c r="AK117" s="23">
        <f t="shared" si="82"/>
        <v>0</v>
      </c>
      <c r="AL117" s="24">
        <f t="shared" si="81"/>
        <v>0</v>
      </c>
    </row>
    <row r="118" spans="3:38" ht="22.5" customHeight="1" x14ac:dyDescent="0.25">
      <c r="D118">
        <f>COUNTIF(D111:D117, TRUE)</f>
        <v>0</v>
      </c>
      <c r="E118">
        <f t="shared" ref="E118" si="83">COUNTIF(E111:E117, TRUE)</f>
        <v>0</v>
      </c>
      <c r="F118">
        <f t="shared" ref="F118" si="84">COUNTIF(F111:F117, TRUE)</f>
        <v>0</v>
      </c>
      <c r="G118">
        <f t="shared" ref="G118" si="85">COUNTIF(G111:G117, TRUE)</f>
        <v>0</v>
      </c>
      <c r="H118">
        <f t="shared" ref="H118" si="86">COUNTIF(H111:H117, TRUE)</f>
        <v>0</v>
      </c>
      <c r="I118">
        <f t="shared" ref="I118" si="87">COUNTIF(I111:I117, TRUE)</f>
        <v>0</v>
      </c>
      <c r="J118">
        <f t="shared" ref="J118" si="88">COUNTIF(J111:J117, TRUE)</f>
        <v>0</v>
      </c>
      <c r="K118">
        <f t="shared" ref="K118" si="89">COUNTIF(K111:K117, TRUE)</f>
        <v>0</v>
      </c>
      <c r="L118">
        <f t="shared" ref="L118" si="90">COUNTIF(L111:L117, TRUE)</f>
        <v>0</v>
      </c>
      <c r="M118">
        <f t="shared" ref="M118" si="91">COUNTIF(M111:M117, TRUE)</f>
        <v>0</v>
      </c>
      <c r="N118">
        <f t="shared" ref="N118" si="92">COUNTIF(N111:N117, TRUE)</f>
        <v>0</v>
      </c>
      <c r="O118">
        <f t="shared" ref="O118" si="93">COUNTIF(O111:O117, TRUE)</f>
        <v>0</v>
      </c>
      <c r="P118">
        <f t="shared" ref="P118" si="94">COUNTIF(P111:P117, TRUE)</f>
        <v>0</v>
      </c>
      <c r="Q118">
        <f t="shared" ref="Q118" si="95">COUNTIF(Q111:Q117, TRUE)</f>
        <v>0</v>
      </c>
      <c r="R118">
        <f t="shared" ref="R118" si="96">COUNTIF(R111:R117, TRUE)</f>
        <v>0</v>
      </c>
      <c r="S118">
        <f t="shared" ref="S118" si="97">COUNTIF(S111:S117, TRUE)</f>
        <v>0</v>
      </c>
      <c r="T118">
        <f t="shared" ref="T118" si="98">COUNTIF(T111:T117, TRUE)</f>
        <v>0</v>
      </c>
      <c r="U118">
        <f t="shared" ref="U118" si="99">COUNTIF(U111:U117, TRUE)</f>
        <v>0</v>
      </c>
      <c r="V118">
        <f t="shared" ref="V118" si="100">COUNTIF(V111:V117, TRUE)</f>
        <v>0</v>
      </c>
      <c r="W118">
        <f t="shared" ref="W118" si="101">COUNTIF(W111:W117, TRUE)</f>
        <v>0</v>
      </c>
      <c r="X118">
        <f t="shared" ref="X118" si="102">COUNTIF(X111:X117, TRUE)</f>
        <v>0</v>
      </c>
      <c r="Y118">
        <f t="shared" ref="Y118" si="103">COUNTIF(Y111:Y117, TRUE)</f>
        <v>0</v>
      </c>
      <c r="Z118">
        <f t="shared" ref="Z118" si="104">COUNTIF(Z111:Z117, TRUE)</f>
        <v>0</v>
      </c>
      <c r="AA118">
        <f t="shared" ref="AA118" si="105">COUNTIF(AA111:AA117, TRUE)</f>
        <v>0</v>
      </c>
      <c r="AB118">
        <f t="shared" ref="AB118" si="106">COUNTIF(AB111:AB117, TRUE)</f>
        <v>0</v>
      </c>
      <c r="AC118">
        <f t="shared" ref="AC118" si="107">COUNTIF(AC111:AC117, TRUE)</f>
        <v>0</v>
      </c>
      <c r="AD118">
        <f t="shared" ref="AD118" si="108">COUNTIF(AD111:AD117, TRUE)</f>
        <v>0</v>
      </c>
      <c r="AE118">
        <f t="shared" ref="AE118" si="109">COUNTIF(AE111:AE117, TRUE)</f>
        <v>0</v>
      </c>
      <c r="AF118">
        <f t="shared" ref="AF118" si="110">COUNTIF(AF111:AF117, TRUE)</f>
        <v>0</v>
      </c>
      <c r="AG118">
        <f t="shared" ref="AG118" si="111">COUNTIF(AG111:AG117, TRUE)</f>
        <v>0</v>
      </c>
      <c r="AH118">
        <f t="shared" ref="AH118" si="112">COUNTIF(AH111:AH117, TRUE)</f>
        <v>0</v>
      </c>
    </row>
    <row r="122" spans="3:38" ht="22.5" customHeight="1" x14ac:dyDescent="0.25">
      <c r="C122" s="254"/>
      <c r="D122" s="551" t="s">
        <v>49</v>
      </c>
      <c r="E122" s="551"/>
      <c r="F122" s="551"/>
      <c r="G122" s="551"/>
      <c r="H122" s="551"/>
      <c r="I122" s="551"/>
      <c r="J122" s="551"/>
      <c r="K122" s="255"/>
      <c r="L122" s="255"/>
      <c r="M122" s="255"/>
      <c r="N122" s="256" t="s">
        <v>21</v>
      </c>
      <c r="O122" s="255"/>
      <c r="P122" s="255"/>
      <c r="Q122" s="255"/>
      <c r="R122" s="255"/>
      <c r="S122" s="256" t="s">
        <v>23</v>
      </c>
      <c r="T122" s="255"/>
      <c r="U122" s="257"/>
      <c r="V122" s="255"/>
      <c r="W122" s="255"/>
      <c r="X122" s="256" t="s">
        <v>27</v>
      </c>
      <c r="Y122" s="255"/>
      <c r="Z122" s="255"/>
      <c r="AA122" s="255"/>
      <c r="AB122" s="256" t="s">
        <v>28</v>
      </c>
      <c r="AC122" s="255"/>
      <c r="AD122" s="255"/>
      <c r="AE122" s="255"/>
      <c r="AF122" s="255"/>
      <c r="AG122" s="255"/>
      <c r="AH122" s="287"/>
    </row>
    <row r="123" spans="3:38" ht="22.5" customHeight="1" x14ac:dyDescent="0.25">
      <c r="C123" s="258"/>
      <c r="D123" s="552"/>
      <c r="E123" s="552"/>
      <c r="F123" s="552"/>
      <c r="G123" s="552"/>
      <c r="H123" s="552"/>
      <c r="I123" s="552"/>
      <c r="J123" s="552"/>
      <c r="K123" s="259"/>
      <c r="L123" s="259"/>
      <c r="M123" s="259"/>
      <c r="N123" s="260">
        <f>COUNTA(C128:C134)</f>
        <v>7</v>
      </c>
      <c r="O123" s="259"/>
      <c r="P123" s="259"/>
      <c r="Q123" s="259"/>
      <c r="R123" s="259"/>
      <c r="S123" s="260">
        <f>COUNTIF(D128:AG134,TRUE)</f>
        <v>0</v>
      </c>
      <c r="T123" s="259"/>
      <c r="U123" s="261"/>
      <c r="V123" s="259"/>
      <c r="W123" s="553">
        <f>COUNTIF(D128:AH134, TRUE)/(COUNTA(D127:AH127)*COUNTA(C128:C134))</f>
        <v>0</v>
      </c>
      <c r="X123" s="553"/>
      <c r="Y123" s="553"/>
      <c r="Z123" s="259"/>
      <c r="AA123" s="259"/>
      <c r="AB123" s="262">
        <f>COUNTIF(D128:AH134, TRUE)/(COUNTA(D127:AH127)*COUNTA(C128:C134))</f>
        <v>0</v>
      </c>
      <c r="AC123" s="259"/>
      <c r="AD123" s="259"/>
      <c r="AE123" s="259"/>
      <c r="AF123" s="259"/>
      <c r="AG123" s="259"/>
      <c r="AH123" s="288"/>
    </row>
    <row r="125" spans="3:38" ht="22.5" customHeight="1" x14ac:dyDescent="0.25">
      <c r="C125" s="554" t="s">
        <v>1</v>
      </c>
      <c r="D125" s="557" t="s">
        <v>9</v>
      </c>
      <c r="E125" s="558"/>
      <c r="F125" s="558"/>
      <c r="G125" s="558"/>
      <c r="H125" s="558"/>
      <c r="I125" s="558"/>
      <c r="J125" s="559"/>
      <c r="K125" s="560" t="s">
        <v>10</v>
      </c>
      <c r="L125" s="561"/>
      <c r="M125" s="561"/>
      <c r="N125" s="561"/>
      <c r="O125" s="561"/>
      <c r="P125" s="561"/>
      <c r="Q125" s="562"/>
      <c r="R125" s="557" t="s">
        <v>11</v>
      </c>
      <c r="S125" s="558"/>
      <c r="T125" s="558"/>
      <c r="U125" s="558"/>
      <c r="V125" s="558"/>
      <c r="W125" s="558"/>
      <c r="X125" s="559"/>
      <c r="Y125" s="560" t="s">
        <v>12</v>
      </c>
      <c r="Z125" s="561"/>
      <c r="AA125" s="561"/>
      <c r="AB125" s="561"/>
      <c r="AC125" s="561"/>
      <c r="AD125" s="561"/>
      <c r="AE125" s="562"/>
      <c r="AF125" s="563" t="s">
        <v>13</v>
      </c>
      <c r="AG125" s="564"/>
      <c r="AH125" s="564"/>
      <c r="AJ125" s="565" t="s">
        <v>24</v>
      </c>
      <c r="AK125" s="566"/>
      <c r="AL125" s="567"/>
    </row>
    <row r="126" spans="3:38" ht="22.5" customHeight="1" x14ac:dyDescent="0.25">
      <c r="C126" s="555"/>
      <c r="D126" s="263" t="s">
        <v>2</v>
      </c>
      <c r="E126" s="263" t="s">
        <v>3</v>
      </c>
      <c r="F126" s="263" t="s">
        <v>4</v>
      </c>
      <c r="G126" s="263" t="s">
        <v>5</v>
      </c>
      <c r="H126" s="263" t="s">
        <v>44</v>
      </c>
      <c r="I126" s="263" t="s">
        <v>7</v>
      </c>
      <c r="J126" s="263" t="s">
        <v>8</v>
      </c>
      <c r="K126" s="276" t="s">
        <v>2</v>
      </c>
      <c r="L126" s="276" t="s">
        <v>3</v>
      </c>
      <c r="M126" s="276" t="s">
        <v>4</v>
      </c>
      <c r="N126" s="276" t="s">
        <v>5</v>
      </c>
      <c r="O126" s="276" t="s">
        <v>44</v>
      </c>
      <c r="P126" s="276" t="s">
        <v>7</v>
      </c>
      <c r="Q126" s="276" t="s">
        <v>8</v>
      </c>
      <c r="R126" s="263" t="s">
        <v>2</v>
      </c>
      <c r="S126" s="263" t="s">
        <v>3</v>
      </c>
      <c r="T126" s="263" t="s">
        <v>4</v>
      </c>
      <c r="U126" s="263" t="s">
        <v>5</v>
      </c>
      <c r="V126" s="263" t="s">
        <v>44</v>
      </c>
      <c r="W126" s="263" t="s">
        <v>7</v>
      </c>
      <c r="X126" s="263" t="s">
        <v>8</v>
      </c>
      <c r="Y126" s="276" t="s">
        <v>2</v>
      </c>
      <c r="Z126" s="276" t="s">
        <v>3</v>
      </c>
      <c r="AA126" s="276" t="s">
        <v>4</v>
      </c>
      <c r="AB126" s="276" t="s">
        <v>5</v>
      </c>
      <c r="AC126" s="276" t="s">
        <v>44</v>
      </c>
      <c r="AD126" s="276" t="s">
        <v>7</v>
      </c>
      <c r="AE126" s="276" t="s">
        <v>8</v>
      </c>
      <c r="AF126" s="263" t="s">
        <v>2</v>
      </c>
      <c r="AG126" s="263" t="s">
        <v>3</v>
      </c>
      <c r="AH126" s="263" t="s">
        <v>4</v>
      </c>
      <c r="AJ126" s="568"/>
      <c r="AK126" s="569"/>
      <c r="AL126" s="570"/>
    </row>
    <row r="127" spans="3:38" ht="22.5" customHeight="1" x14ac:dyDescent="0.25">
      <c r="C127" s="556"/>
      <c r="D127" s="263">
        <v>1</v>
      </c>
      <c r="E127" s="263">
        <v>2</v>
      </c>
      <c r="F127" s="263">
        <v>3</v>
      </c>
      <c r="G127" s="263">
        <v>4</v>
      </c>
      <c r="H127" s="263">
        <v>5</v>
      </c>
      <c r="I127" s="263">
        <v>6</v>
      </c>
      <c r="J127" s="263">
        <v>7</v>
      </c>
      <c r="K127" s="276">
        <v>8</v>
      </c>
      <c r="L127" s="276">
        <v>9</v>
      </c>
      <c r="M127" s="276">
        <v>10</v>
      </c>
      <c r="N127" s="276">
        <v>11</v>
      </c>
      <c r="O127" s="276">
        <v>12</v>
      </c>
      <c r="P127" s="276">
        <v>13</v>
      </c>
      <c r="Q127" s="276">
        <v>14</v>
      </c>
      <c r="R127" s="263">
        <v>15</v>
      </c>
      <c r="S127" s="263">
        <v>16</v>
      </c>
      <c r="T127" s="263">
        <v>17</v>
      </c>
      <c r="U127" s="263">
        <v>18</v>
      </c>
      <c r="V127" s="263">
        <v>19</v>
      </c>
      <c r="W127" s="263">
        <v>20</v>
      </c>
      <c r="X127" s="263">
        <v>21</v>
      </c>
      <c r="Y127" s="276">
        <v>22</v>
      </c>
      <c r="Z127" s="276">
        <v>23</v>
      </c>
      <c r="AA127" s="276">
        <v>24</v>
      </c>
      <c r="AB127" s="276">
        <v>25</v>
      </c>
      <c r="AC127" s="276">
        <v>26</v>
      </c>
      <c r="AD127" s="276">
        <v>27</v>
      </c>
      <c r="AE127" s="276">
        <v>28</v>
      </c>
      <c r="AF127" s="263">
        <v>29</v>
      </c>
      <c r="AG127" s="263">
        <v>30</v>
      </c>
      <c r="AH127" s="263">
        <v>31</v>
      </c>
      <c r="AJ127" s="286" t="s">
        <v>25</v>
      </c>
      <c r="AK127" s="286" t="s">
        <v>26</v>
      </c>
      <c r="AL127" s="286" t="s">
        <v>27</v>
      </c>
    </row>
    <row r="128" spans="3:38" ht="22.5" customHeight="1" x14ac:dyDescent="0.25">
      <c r="C128" s="273" t="s">
        <v>14</v>
      </c>
      <c r="D128" s="264" t="b">
        <v>0</v>
      </c>
      <c r="E128" s="265" t="b">
        <v>0</v>
      </c>
      <c r="F128" s="265" t="b">
        <v>0</v>
      </c>
      <c r="G128" s="265" t="b">
        <v>0</v>
      </c>
      <c r="H128" s="265" t="b">
        <v>0</v>
      </c>
      <c r="I128" s="265" t="b">
        <v>0</v>
      </c>
      <c r="J128" s="266" t="b">
        <v>0</v>
      </c>
      <c r="K128" s="277" t="b">
        <v>0</v>
      </c>
      <c r="L128" s="278" t="b">
        <v>0</v>
      </c>
      <c r="M128" s="278" t="b">
        <v>0</v>
      </c>
      <c r="N128" s="278" t="b">
        <v>0</v>
      </c>
      <c r="O128" s="278" t="b">
        <v>0</v>
      </c>
      <c r="P128" s="278" t="b">
        <v>0</v>
      </c>
      <c r="Q128" s="279" t="b">
        <v>0</v>
      </c>
      <c r="R128" s="264" t="b">
        <v>0</v>
      </c>
      <c r="S128" s="265" t="b">
        <v>0</v>
      </c>
      <c r="T128" s="265" t="b">
        <v>0</v>
      </c>
      <c r="U128" s="265" t="b">
        <v>0</v>
      </c>
      <c r="V128" s="265" t="b">
        <v>0</v>
      </c>
      <c r="W128" s="265" t="b">
        <v>0</v>
      </c>
      <c r="X128" s="266" t="b">
        <v>0</v>
      </c>
      <c r="Y128" s="277" t="b">
        <v>0</v>
      </c>
      <c r="Z128" s="278" t="b">
        <v>0</v>
      </c>
      <c r="AA128" s="278" t="b">
        <v>0</v>
      </c>
      <c r="AB128" s="278" t="b">
        <v>0</v>
      </c>
      <c r="AC128" s="278" t="b">
        <v>0</v>
      </c>
      <c r="AD128" s="278" t="b">
        <v>0</v>
      </c>
      <c r="AE128" s="279" t="b">
        <v>0</v>
      </c>
      <c r="AF128" s="264" t="b">
        <v>0</v>
      </c>
      <c r="AG128" s="265" t="b">
        <v>0</v>
      </c>
      <c r="AH128" s="269" t="b">
        <v>0</v>
      </c>
      <c r="AJ128" s="23">
        <f>COUNTA(D128:AH128)</f>
        <v>31</v>
      </c>
      <c r="AK128" s="23">
        <f t="shared" ref="AK128:AK134" si="113">COUNTIF(D128:AG128, TRUE)</f>
        <v>0</v>
      </c>
      <c r="AL128" s="24">
        <f>AK128/AJ128</f>
        <v>0</v>
      </c>
    </row>
    <row r="129" spans="3:38" ht="22.5" customHeight="1" x14ac:dyDescent="0.25">
      <c r="C129" s="274" t="s">
        <v>15</v>
      </c>
      <c r="D129" s="267" t="b">
        <v>0</v>
      </c>
      <c r="E129" s="268" t="b">
        <v>0</v>
      </c>
      <c r="F129" s="268" t="b">
        <v>0</v>
      </c>
      <c r="G129" s="268" t="b">
        <v>0</v>
      </c>
      <c r="H129" s="268" t="b">
        <v>0</v>
      </c>
      <c r="I129" s="268" t="b">
        <v>0</v>
      </c>
      <c r="J129" s="269" t="b">
        <v>0</v>
      </c>
      <c r="K129" s="280" t="b">
        <v>0</v>
      </c>
      <c r="L129" s="281" t="b">
        <v>0</v>
      </c>
      <c r="M129" s="281" t="b">
        <v>0</v>
      </c>
      <c r="N129" s="281" t="b">
        <v>0</v>
      </c>
      <c r="O129" s="281" t="b">
        <v>0</v>
      </c>
      <c r="P129" s="281" t="b">
        <v>0</v>
      </c>
      <c r="Q129" s="282" t="b">
        <v>0</v>
      </c>
      <c r="R129" s="267" t="b">
        <v>0</v>
      </c>
      <c r="S129" s="268" t="b">
        <v>0</v>
      </c>
      <c r="T129" s="268" t="b">
        <v>0</v>
      </c>
      <c r="U129" s="268" t="b">
        <v>0</v>
      </c>
      <c r="V129" s="268" t="b">
        <v>0</v>
      </c>
      <c r="W129" s="268" t="b">
        <v>0</v>
      </c>
      <c r="X129" s="269" t="b">
        <v>0</v>
      </c>
      <c r="Y129" s="280" t="b">
        <v>0</v>
      </c>
      <c r="Z129" s="281" t="b">
        <v>0</v>
      </c>
      <c r="AA129" s="281" t="b">
        <v>0</v>
      </c>
      <c r="AB129" s="281" t="b">
        <v>0</v>
      </c>
      <c r="AC129" s="281" t="b">
        <v>0</v>
      </c>
      <c r="AD129" s="281" t="b">
        <v>0</v>
      </c>
      <c r="AE129" s="282" t="b">
        <v>0</v>
      </c>
      <c r="AF129" s="267" t="b">
        <v>0</v>
      </c>
      <c r="AG129" s="268" t="b">
        <v>0</v>
      </c>
      <c r="AH129" s="269" t="b">
        <v>0</v>
      </c>
      <c r="AJ129" s="23">
        <f t="shared" ref="AJ129:AJ134" si="114">COUNTA(D129:AH129)</f>
        <v>31</v>
      </c>
      <c r="AK129" s="23">
        <f t="shared" si="113"/>
        <v>0</v>
      </c>
      <c r="AL129" s="24">
        <f t="shared" ref="AL129:AL134" si="115">AK129/AJ129</f>
        <v>0</v>
      </c>
    </row>
    <row r="130" spans="3:38" ht="22.5" customHeight="1" x14ac:dyDescent="0.25">
      <c r="C130" s="274" t="s">
        <v>16</v>
      </c>
      <c r="D130" s="267" t="b">
        <v>0</v>
      </c>
      <c r="E130" s="268" t="b">
        <v>0</v>
      </c>
      <c r="F130" s="268" t="b">
        <v>0</v>
      </c>
      <c r="G130" s="268" t="b">
        <v>0</v>
      </c>
      <c r="H130" s="268" t="b">
        <v>0</v>
      </c>
      <c r="I130" s="268" t="b">
        <v>0</v>
      </c>
      <c r="J130" s="269" t="b">
        <v>0</v>
      </c>
      <c r="K130" s="280" t="b">
        <v>0</v>
      </c>
      <c r="L130" s="281" t="b">
        <v>0</v>
      </c>
      <c r="M130" s="281" t="b">
        <v>0</v>
      </c>
      <c r="N130" s="281" t="b">
        <v>0</v>
      </c>
      <c r="O130" s="281" t="b">
        <v>0</v>
      </c>
      <c r="P130" s="281" t="b">
        <v>0</v>
      </c>
      <c r="Q130" s="282" t="b">
        <v>0</v>
      </c>
      <c r="R130" s="267" t="b">
        <v>0</v>
      </c>
      <c r="S130" s="268" t="b">
        <v>0</v>
      </c>
      <c r="T130" s="268" t="b">
        <v>0</v>
      </c>
      <c r="U130" s="268" t="b">
        <v>0</v>
      </c>
      <c r="V130" s="268" t="b">
        <v>0</v>
      </c>
      <c r="W130" s="268" t="b">
        <v>0</v>
      </c>
      <c r="X130" s="269" t="b">
        <v>0</v>
      </c>
      <c r="Y130" s="280" t="b">
        <v>0</v>
      </c>
      <c r="Z130" s="281" t="b">
        <v>0</v>
      </c>
      <c r="AA130" s="281" t="b">
        <v>0</v>
      </c>
      <c r="AB130" s="281" t="b">
        <v>0</v>
      </c>
      <c r="AC130" s="281" t="b">
        <v>0</v>
      </c>
      <c r="AD130" s="281" t="b">
        <v>0</v>
      </c>
      <c r="AE130" s="282" t="b">
        <v>0</v>
      </c>
      <c r="AF130" s="267" t="b">
        <v>0</v>
      </c>
      <c r="AG130" s="268" t="b">
        <v>0</v>
      </c>
      <c r="AH130" s="269" t="b">
        <v>0</v>
      </c>
      <c r="AJ130" s="23">
        <f t="shared" si="114"/>
        <v>31</v>
      </c>
      <c r="AK130" s="23">
        <f t="shared" si="113"/>
        <v>0</v>
      </c>
      <c r="AL130" s="24">
        <f t="shared" si="115"/>
        <v>0</v>
      </c>
    </row>
    <row r="131" spans="3:38" ht="22.5" customHeight="1" x14ac:dyDescent="0.25">
      <c r="C131" s="274" t="s">
        <v>17</v>
      </c>
      <c r="D131" s="267" t="b">
        <v>0</v>
      </c>
      <c r="E131" s="268" t="b">
        <v>0</v>
      </c>
      <c r="F131" s="268" t="b">
        <v>0</v>
      </c>
      <c r="G131" s="268" t="b">
        <v>0</v>
      </c>
      <c r="H131" s="268" t="b">
        <v>0</v>
      </c>
      <c r="I131" s="268" t="b">
        <v>0</v>
      </c>
      <c r="J131" s="269" t="b">
        <v>0</v>
      </c>
      <c r="K131" s="280" t="b">
        <v>0</v>
      </c>
      <c r="L131" s="281" t="b">
        <v>0</v>
      </c>
      <c r="M131" s="281" t="b">
        <v>0</v>
      </c>
      <c r="N131" s="281" t="b">
        <v>0</v>
      </c>
      <c r="O131" s="281" t="b">
        <v>0</v>
      </c>
      <c r="P131" s="281" t="b">
        <v>0</v>
      </c>
      <c r="Q131" s="282" t="b">
        <v>0</v>
      </c>
      <c r="R131" s="267" t="b">
        <v>0</v>
      </c>
      <c r="S131" s="268" t="b">
        <v>0</v>
      </c>
      <c r="T131" s="268" t="b">
        <v>0</v>
      </c>
      <c r="U131" s="268" t="b">
        <v>0</v>
      </c>
      <c r="V131" s="268" t="b">
        <v>0</v>
      </c>
      <c r="W131" s="268" t="b">
        <v>0</v>
      </c>
      <c r="X131" s="269" t="b">
        <v>0</v>
      </c>
      <c r="Y131" s="280" t="b">
        <v>0</v>
      </c>
      <c r="Z131" s="281" t="b">
        <v>0</v>
      </c>
      <c r="AA131" s="281" t="b">
        <v>0</v>
      </c>
      <c r="AB131" s="281" t="b">
        <v>0</v>
      </c>
      <c r="AC131" s="281" t="b">
        <v>0</v>
      </c>
      <c r="AD131" s="281" t="b">
        <v>0</v>
      </c>
      <c r="AE131" s="282" t="b">
        <v>0</v>
      </c>
      <c r="AF131" s="267" t="b">
        <v>0</v>
      </c>
      <c r="AG131" s="268" t="b">
        <v>0</v>
      </c>
      <c r="AH131" s="269" t="b">
        <v>0</v>
      </c>
      <c r="AJ131" s="23">
        <f t="shared" si="114"/>
        <v>31</v>
      </c>
      <c r="AK131" s="23">
        <f t="shared" si="113"/>
        <v>0</v>
      </c>
      <c r="AL131" s="24">
        <f t="shared" si="115"/>
        <v>0</v>
      </c>
    </row>
    <row r="132" spans="3:38" ht="22.5" customHeight="1" x14ac:dyDescent="0.25">
      <c r="C132" s="274" t="s">
        <v>19</v>
      </c>
      <c r="D132" s="267" t="b">
        <v>0</v>
      </c>
      <c r="E132" s="268" t="b">
        <v>0</v>
      </c>
      <c r="F132" s="268" t="b">
        <v>0</v>
      </c>
      <c r="G132" s="268" t="b">
        <v>0</v>
      </c>
      <c r="H132" s="268" t="b">
        <v>0</v>
      </c>
      <c r="I132" s="268" t="b">
        <v>0</v>
      </c>
      <c r="J132" s="269" t="b">
        <v>0</v>
      </c>
      <c r="K132" s="280" t="b">
        <v>0</v>
      </c>
      <c r="L132" s="281" t="b">
        <v>0</v>
      </c>
      <c r="M132" s="281" t="b">
        <v>0</v>
      </c>
      <c r="N132" s="281" t="b">
        <v>0</v>
      </c>
      <c r="O132" s="281" t="b">
        <v>0</v>
      </c>
      <c r="P132" s="281" t="b">
        <v>0</v>
      </c>
      <c r="Q132" s="282" t="b">
        <v>0</v>
      </c>
      <c r="R132" s="267" t="b">
        <v>0</v>
      </c>
      <c r="S132" s="268" t="b">
        <v>0</v>
      </c>
      <c r="T132" s="268" t="b">
        <v>0</v>
      </c>
      <c r="U132" s="268" t="b">
        <v>0</v>
      </c>
      <c r="V132" s="268" t="b">
        <v>0</v>
      </c>
      <c r="W132" s="268" t="b">
        <v>0</v>
      </c>
      <c r="X132" s="269" t="b">
        <v>0</v>
      </c>
      <c r="Y132" s="280" t="b">
        <v>0</v>
      </c>
      <c r="Z132" s="281" t="b">
        <v>0</v>
      </c>
      <c r="AA132" s="281" t="b">
        <v>0</v>
      </c>
      <c r="AB132" s="281" t="b">
        <v>0</v>
      </c>
      <c r="AC132" s="281" t="b">
        <v>0</v>
      </c>
      <c r="AD132" s="281" t="b">
        <v>0</v>
      </c>
      <c r="AE132" s="282" t="b">
        <v>0</v>
      </c>
      <c r="AF132" s="267" t="b">
        <v>0</v>
      </c>
      <c r="AG132" s="268" t="b">
        <v>0</v>
      </c>
      <c r="AH132" s="269" t="b">
        <v>0</v>
      </c>
      <c r="AJ132" s="23">
        <f t="shared" si="114"/>
        <v>31</v>
      </c>
      <c r="AK132" s="23">
        <f t="shared" si="113"/>
        <v>0</v>
      </c>
      <c r="AL132" s="24">
        <f t="shared" si="115"/>
        <v>0</v>
      </c>
    </row>
    <row r="133" spans="3:38" ht="22.5" customHeight="1" x14ac:dyDescent="0.25">
      <c r="C133" s="274" t="s">
        <v>20</v>
      </c>
      <c r="D133" s="267" t="b">
        <v>0</v>
      </c>
      <c r="E133" s="268" t="b">
        <v>0</v>
      </c>
      <c r="F133" s="268" t="b">
        <v>0</v>
      </c>
      <c r="G133" s="268" t="b">
        <v>0</v>
      </c>
      <c r="H133" s="268" t="b">
        <v>0</v>
      </c>
      <c r="I133" s="268" t="b">
        <v>0</v>
      </c>
      <c r="J133" s="269" t="b">
        <v>0</v>
      </c>
      <c r="K133" s="280" t="b">
        <v>0</v>
      </c>
      <c r="L133" s="281" t="b">
        <v>0</v>
      </c>
      <c r="M133" s="281" t="b">
        <v>0</v>
      </c>
      <c r="N133" s="281" t="b">
        <v>0</v>
      </c>
      <c r="O133" s="281" t="b">
        <v>0</v>
      </c>
      <c r="P133" s="281" t="b">
        <v>0</v>
      </c>
      <c r="Q133" s="282" t="b">
        <v>0</v>
      </c>
      <c r="R133" s="267" t="b">
        <v>0</v>
      </c>
      <c r="S133" s="268" t="b">
        <v>0</v>
      </c>
      <c r="T133" s="268" t="b">
        <v>0</v>
      </c>
      <c r="U133" s="268" t="b">
        <v>0</v>
      </c>
      <c r="V133" s="268" t="b">
        <v>0</v>
      </c>
      <c r="W133" s="268" t="b">
        <v>0</v>
      </c>
      <c r="X133" s="269" t="b">
        <v>0</v>
      </c>
      <c r="Y133" s="280" t="b">
        <v>0</v>
      </c>
      <c r="Z133" s="281" t="b">
        <v>0</v>
      </c>
      <c r="AA133" s="281" t="b">
        <v>0</v>
      </c>
      <c r="AB133" s="281" t="b">
        <v>0</v>
      </c>
      <c r="AC133" s="281" t="b">
        <v>0</v>
      </c>
      <c r="AD133" s="281" t="b">
        <v>0</v>
      </c>
      <c r="AE133" s="282" t="b">
        <v>0</v>
      </c>
      <c r="AF133" s="267" t="b">
        <v>0</v>
      </c>
      <c r="AG133" s="268" t="b">
        <v>0</v>
      </c>
      <c r="AH133" s="269" t="b">
        <v>0</v>
      </c>
      <c r="AJ133" s="23">
        <f t="shared" si="114"/>
        <v>31</v>
      </c>
      <c r="AK133" s="23">
        <f t="shared" si="113"/>
        <v>0</v>
      </c>
      <c r="AL133" s="24">
        <f t="shared" si="115"/>
        <v>0</v>
      </c>
    </row>
    <row r="134" spans="3:38" ht="22.5" customHeight="1" x14ac:dyDescent="0.25">
      <c r="C134" s="275" t="s">
        <v>18</v>
      </c>
      <c r="D134" s="270" t="b">
        <v>0</v>
      </c>
      <c r="E134" s="271" t="b">
        <v>0</v>
      </c>
      <c r="F134" s="271" t="b">
        <v>0</v>
      </c>
      <c r="G134" s="271" t="b">
        <v>0</v>
      </c>
      <c r="H134" s="271" t="b">
        <v>0</v>
      </c>
      <c r="I134" s="271" t="b">
        <v>0</v>
      </c>
      <c r="J134" s="272" t="b">
        <v>0</v>
      </c>
      <c r="K134" s="283" t="b">
        <v>0</v>
      </c>
      <c r="L134" s="284" t="b">
        <v>0</v>
      </c>
      <c r="M134" s="284" t="b">
        <v>0</v>
      </c>
      <c r="N134" s="284" t="b">
        <v>0</v>
      </c>
      <c r="O134" s="284" t="b">
        <v>0</v>
      </c>
      <c r="P134" s="284" t="b">
        <v>0</v>
      </c>
      <c r="Q134" s="285" t="b">
        <v>0</v>
      </c>
      <c r="R134" s="270" t="b">
        <v>0</v>
      </c>
      <c r="S134" s="271" t="b">
        <v>0</v>
      </c>
      <c r="T134" s="271" t="b">
        <v>0</v>
      </c>
      <c r="U134" s="271" t="b">
        <v>0</v>
      </c>
      <c r="V134" s="271" t="b">
        <v>0</v>
      </c>
      <c r="W134" s="271" t="b">
        <v>0</v>
      </c>
      <c r="X134" s="272" t="b">
        <v>0</v>
      </c>
      <c r="Y134" s="283" t="b">
        <v>0</v>
      </c>
      <c r="Z134" s="284" t="b">
        <v>0</v>
      </c>
      <c r="AA134" s="284" t="b">
        <v>0</v>
      </c>
      <c r="AB134" s="284" t="b">
        <v>0</v>
      </c>
      <c r="AC134" s="284" t="b">
        <v>0</v>
      </c>
      <c r="AD134" s="284" t="b">
        <v>0</v>
      </c>
      <c r="AE134" s="285" t="b">
        <v>0</v>
      </c>
      <c r="AF134" s="270" t="b">
        <v>0</v>
      </c>
      <c r="AG134" s="271" t="b">
        <v>0</v>
      </c>
      <c r="AH134" s="269" t="b">
        <v>0</v>
      </c>
      <c r="AJ134" s="23">
        <f t="shared" si="114"/>
        <v>31</v>
      </c>
      <c r="AK134" s="23">
        <f t="shared" si="113"/>
        <v>0</v>
      </c>
      <c r="AL134" s="24">
        <f t="shared" si="115"/>
        <v>0</v>
      </c>
    </row>
    <row r="135" spans="3:38" ht="22.5" customHeight="1" x14ac:dyDescent="0.25">
      <c r="D135">
        <f>COUNTIF(D128:D134, TRUE)</f>
        <v>0</v>
      </c>
      <c r="E135">
        <f t="shared" ref="E135" si="116">COUNTIF(E128:E134, TRUE)</f>
        <v>0</v>
      </c>
      <c r="F135">
        <f t="shared" ref="F135" si="117">COUNTIF(F128:F134, TRUE)</f>
        <v>0</v>
      </c>
      <c r="G135">
        <f t="shared" ref="G135" si="118">COUNTIF(G128:G134, TRUE)</f>
        <v>0</v>
      </c>
      <c r="H135">
        <f t="shared" ref="H135" si="119">COUNTIF(H128:H134, TRUE)</f>
        <v>0</v>
      </c>
      <c r="I135">
        <f t="shared" ref="I135" si="120">COUNTIF(I128:I134, TRUE)</f>
        <v>0</v>
      </c>
      <c r="J135">
        <f t="shared" ref="J135" si="121">COUNTIF(J128:J134, TRUE)</f>
        <v>0</v>
      </c>
      <c r="K135">
        <f t="shared" ref="K135" si="122">COUNTIF(K128:K134, TRUE)</f>
        <v>0</v>
      </c>
      <c r="L135">
        <f t="shared" ref="L135" si="123">COUNTIF(L128:L134, TRUE)</f>
        <v>0</v>
      </c>
      <c r="M135">
        <f t="shared" ref="M135" si="124">COUNTIF(M128:M134, TRUE)</f>
        <v>0</v>
      </c>
      <c r="N135">
        <f t="shared" ref="N135" si="125">COUNTIF(N128:N134, TRUE)</f>
        <v>0</v>
      </c>
      <c r="O135">
        <f t="shared" ref="O135" si="126">COUNTIF(O128:O134, TRUE)</f>
        <v>0</v>
      </c>
      <c r="P135">
        <f t="shared" ref="P135" si="127">COUNTIF(P128:P134, TRUE)</f>
        <v>0</v>
      </c>
      <c r="Q135">
        <f t="shared" ref="Q135" si="128">COUNTIF(Q128:Q134, TRUE)</f>
        <v>0</v>
      </c>
      <c r="R135">
        <f t="shared" ref="R135" si="129">COUNTIF(R128:R134, TRUE)</f>
        <v>0</v>
      </c>
      <c r="S135">
        <f t="shared" ref="S135" si="130">COUNTIF(S128:S134, TRUE)</f>
        <v>0</v>
      </c>
      <c r="T135">
        <f t="shared" ref="T135" si="131">COUNTIF(T128:T134, TRUE)</f>
        <v>0</v>
      </c>
      <c r="U135">
        <f t="shared" ref="U135" si="132">COUNTIF(U128:U134, TRUE)</f>
        <v>0</v>
      </c>
      <c r="V135">
        <f t="shared" ref="V135" si="133">COUNTIF(V128:V134, TRUE)</f>
        <v>0</v>
      </c>
      <c r="W135">
        <f t="shared" ref="W135" si="134">COUNTIF(W128:W134, TRUE)</f>
        <v>0</v>
      </c>
      <c r="X135">
        <f t="shared" ref="X135" si="135">COUNTIF(X128:X134, TRUE)</f>
        <v>0</v>
      </c>
      <c r="Y135">
        <f t="shared" ref="Y135" si="136">COUNTIF(Y128:Y134, TRUE)</f>
        <v>0</v>
      </c>
      <c r="Z135">
        <f t="shared" ref="Z135" si="137">COUNTIF(Z128:Z134, TRUE)</f>
        <v>0</v>
      </c>
      <c r="AA135">
        <f t="shared" ref="AA135" si="138">COUNTIF(AA128:AA134, TRUE)</f>
        <v>0</v>
      </c>
      <c r="AB135">
        <f t="shared" ref="AB135" si="139">COUNTIF(AB128:AB134, TRUE)</f>
        <v>0</v>
      </c>
      <c r="AC135">
        <f t="shared" ref="AC135" si="140">COUNTIF(AC128:AC134, TRUE)</f>
        <v>0</v>
      </c>
      <c r="AD135">
        <f t="shared" ref="AD135" si="141">COUNTIF(AD128:AD134, TRUE)</f>
        <v>0</v>
      </c>
      <c r="AE135">
        <f t="shared" ref="AE135" si="142">COUNTIF(AE128:AE134, TRUE)</f>
        <v>0</v>
      </c>
      <c r="AF135">
        <f t="shared" ref="AF135" si="143">COUNTIF(AF128:AF134, TRUE)</f>
        <v>0</v>
      </c>
      <c r="AG135">
        <f t="shared" ref="AG135" si="144">COUNTIF(AG128:AG134, TRUE)</f>
        <v>0</v>
      </c>
      <c r="AH135">
        <f t="shared" ref="AH135" si="145">COUNTIF(AH128:AH134, TRUE)</f>
        <v>0</v>
      </c>
    </row>
    <row r="139" spans="3:38" ht="22.5" customHeight="1" x14ac:dyDescent="0.25">
      <c r="C139" s="289"/>
      <c r="D139" s="535" t="s">
        <v>50</v>
      </c>
      <c r="E139" s="535"/>
      <c r="F139" s="535"/>
      <c r="G139" s="535"/>
      <c r="H139" s="535"/>
      <c r="I139" s="535"/>
      <c r="J139" s="535"/>
      <c r="K139" s="290"/>
      <c r="L139" s="290"/>
      <c r="M139" s="290"/>
      <c r="N139" s="291" t="s">
        <v>21</v>
      </c>
      <c r="O139" s="290"/>
      <c r="P139" s="290"/>
      <c r="Q139" s="290"/>
      <c r="R139" s="290"/>
      <c r="S139" s="291" t="s">
        <v>23</v>
      </c>
      <c r="T139" s="290"/>
      <c r="U139" s="292"/>
      <c r="V139" s="290"/>
      <c r="W139" s="290"/>
      <c r="X139" s="291" t="s">
        <v>27</v>
      </c>
      <c r="Y139" s="290"/>
      <c r="Z139" s="290"/>
      <c r="AA139" s="290"/>
      <c r="AB139" s="291" t="s">
        <v>28</v>
      </c>
      <c r="AC139" s="290"/>
      <c r="AD139" s="290"/>
      <c r="AE139" s="290"/>
      <c r="AF139" s="290"/>
      <c r="AG139" s="290"/>
    </row>
    <row r="140" spans="3:38" ht="22.5" customHeight="1" x14ac:dyDescent="0.25">
      <c r="C140" s="293"/>
      <c r="D140" s="536"/>
      <c r="E140" s="536"/>
      <c r="F140" s="536"/>
      <c r="G140" s="536"/>
      <c r="H140" s="536"/>
      <c r="I140" s="536"/>
      <c r="J140" s="536"/>
      <c r="K140" s="294"/>
      <c r="L140" s="294"/>
      <c r="M140" s="294"/>
      <c r="N140" s="295">
        <f>COUNTA(C145:C151)</f>
        <v>7</v>
      </c>
      <c r="O140" s="294"/>
      <c r="P140" s="294"/>
      <c r="Q140" s="294"/>
      <c r="R140" s="294"/>
      <c r="S140" s="295">
        <f>COUNTIF(D145:AG151,TRUE)</f>
        <v>0</v>
      </c>
      <c r="T140" s="294"/>
      <c r="U140" s="296"/>
      <c r="V140" s="294"/>
      <c r="W140" s="537">
        <f>COUNTIF(D145:AG151, TRUE)/(COUNTA(D144:AG144)*COUNTA(C145:C151))</f>
        <v>0</v>
      </c>
      <c r="X140" s="537"/>
      <c r="Y140" s="537"/>
      <c r="Z140" s="294"/>
      <c r="AA140" s="294"/>
      <c r="AB140" s="297">
        <f>COUNTIF(D145:AG151, TRUE)/(COUNTA(D144:AG144)*COUNTA(C145:C151))</f>
        <v>0</v>
      </c>
      <c r="AC140" s="294"/>
      <c r="AD140" s="294"/>
      <c r="AE140" s="294"/>
      <c r="AF140" s="294"/>
      <c r="AG140" s="294"/>
    </row>
    <row r="142" spans="3:38" ht="22.5" customHeight="1" x14ac:dyDescent="0.25">
      <c r="C142" s="538" t="s">
        <v>1</v>
      </c>
      <c r="D142" s="515" t="s">
        <v>9</v>
      </c>
      <c r="E142" s="541"/>
      <c r="F142" s="541"/>
      <c r="G142" s="541"/>
      <c r="H142" s="541"/>
      <c r="I142" s="541"/>
      <c r="J142" s="516"/>
      <c r="K142" s="542" t="s">
        <v>10</v>
      </c>
      <c r="L142" s="543"/>
      <c r="M142" s="543"/>
      <c r="N142" s="543"/>
      <c r="O142" s="543"/>
      <c r="P142" s="543"/>
      <c r="Q142" s="544"/>
      <c r="R142" s="515" t="s">
        <v>11</v>
      </c>
      <c r="S142" s="541"/>
      <c r="T142" s="541"/>
      <c r="U142" s="541"/>
      <c r="V142" s="541"/>
      <c r="W142" s="541"/>
      <c r="X142" s="516"/>
      <c r="Y142" s="542" t="s">
        <v>12</v>
      </c>
      <c r="Z142" s="543"/>
      <c r="AA142" s="543"/>
      <c r="AB142" s="543"/>
      <c r="AC142" s="543"/>
      <c r="AD142" s="543"/>
      <c r="AE142" s="544"/>
      <c r="AF142" s="515" t="s">
        <v>13</v>
      </c>
      <c r="AG142" s="516"/>
      <c r="AI142" s="517" t="s">
        <v>24</v>
      </c>
      <c r="AJ142" s="518"/>
      <c r="AK142" s="519"/>
    </row>
    <row r="143" spans="3:38" ht="22.5" customHeight="1" x14ac:dyDescent="0.25">
      <c r="C143" s="539"/>
      <c r="D143" s="311" t="s">
        <v>5</v>
      </c>
      <c r="E143" s="311" t="s">
        <v>44</v>
      </c>
      <c r="F143" s="311" t="s">
        <v>7</v>
      </c>
      <c r="G143" s="311" t="s">
        <v>8</v>
      </c>
      <c r="H143" s="311" t="s">
        <v>2</v>
      </c>
      <c r="I143" s="311" t="s">
        <v>3</v>
      </c>
      <c r="J143" s="311" t="s">
        <v>4</v>
      </c>
      <c r="K143" s="301" t="s">
        <v>5</v>
      </c>
      <c r="L143" s="301" t="s">
        <v>44</v>
      </c>
      <c r="M143" s="301" t="s">
        <v>7</v>
      </c>
      <c r="N143" s="301" t="s">
        <v>8</v>
      </c>
      <c r="O143" s="301" t="s">
        <v>2</v>
      </c>
      <c r="P143" s="301" t="s">
        <v>3</v>
      </c>
      <c r="Q143" s="301" t="s">
        <v>4</v>
      </c>
      <c r="R143" s="311" t="s">
        <v>5</v>
      </c>
      <c r="S143" s="311" t="s">
        <v>44</v>
      </c>
      <c r="T143" s="311" t="s">
        <v>7</v>
      </c>
      <c r="U143" s="311" t="s">
        <v>8</v>
      </c>
      <c r="V143" s="311" t="s">
        <v>2</v>
      </c>
      <c r="W143" s="311" t="s">
        <v>3</v>
      </c>
      <c r="X143" s="311" t="s">
        <v>4</v>
      </c>
      <c r="Y143" s="301" t="s">
        <v>5</v>
      </c>
      <c r="Z143" s="301" t="s">
        <v>44</v>
      </c>
      <c r="AA143" s="301" t="s">
        <v>7</v>
      </c>
      <c r="AB143" s="301" t="s">
        <v>8</v>
      </c>
      <c r="AC143" s="301" t="s">
        <v>2</v>
      </c>
      <c r="AD143" s="301" t="s">
        <v>3</v>
      </c>
      <c r="AE143" s="301" t="s">
        <v>4</v>
      </c>
      <c r="AF143" s="311" t="s">
        <v>5</v>
      </c>
      <c r="AG143" s="311" t="s">
        <v>44</v>
      </c>
      <c r="AI143" s="520"/>
      <c r="AJ143" s="521"/>
      <c r="AK143" s="522"/>
    </row>
    <row r="144" spans="3:38" ht="22.5" customHeight="1" x14ac:dyDescent="0.25">
      <c r="C144" s="540"/>
      <c r="D144" s="311">
        <v>1</v>
      </c>
      <c r="E144" s="311">
        <v>2</v>
      </c>
      <c r="F144" s="311">
        <v>3</v>
      </c>
      <c r="G144" s="311">
        <v>4</v>
      </c>
      <c r="H144" s="311">
        <v>5</v>
      </c>
      <c r="I144" s="311">
        <v>6</v>
      </c>
      <c r="J144" s="311">
        <v>7</v>
      </c>
      <c r="K144" s="301">
        <v>8</v>
      </c>
      <c r="L144" s="301">
        <v>9</v>
      </c>
      <c r="M144" s="301">
        <v>10</v>
      </c>
      <c r="N144" s="301">
        <v>11</v>
      </c>
      <c r="O144" s="301">
        <v>12</v>
      </c>
      <c r="P144" s="301">
        <v>13</v>
      </c>
      <c r="Q144" s="301">
        <v>14</v>
      </c>
      <c r="R144" s="311">
        <v>15</v>
      </c>
      <c r="S144" s="311">
        <v>16</v>
      </c>
      <c r="T144" s="311">
        <v>17</v>
      </c>
      <c r="U144" s="311">
        <v>18</v>
      </c>
      <c r="V144" s="311">
        <v>19</v>
      </c>
      <c r="W144" s="311">
        <v>20</v>
      </c>
      <c r="X144" s="311">
        <v>21</v>
      </c>
      <c r="Y144" s="301">
        <v>22</v>
      </c>
      <c r="Z144" s="301">
        <v>23</v>
      </c>
      <c r="AA144" s="301">
        <v>24</v>
      </c>
      <c r="AB144" s="301">
        <v>25</v>
      </c>
      <c r="AC144" s="301">
        <v>26</v>
      </c>
      <c r="AD144" s="301">
        <v>27</v>
      </c>
      <c r="AE144" s="301">
        <v>28</v>
      </c>
      <c r="AF144" s="311">
        <v>29</v>
      </c>
      <c r="AG144" s="311">
        <v>30</v>
      </c>
      <c r="AI144" s="321" t="s">
        <v>25</v>
      </c>
      <c r="AJ144" s="321" t="s">
        <v>26</v>
      </c>
      <c r="AK144" s="321" t="s">
        <v>27</v>
      </c>
    </row>
    <row r="145" spans="3:38" ht="22.5" customHeight="1" x14ac:dyDescent="0.25">
      <c r="C145" s="298" t="s">
        <v>14</v>
      </c>
      <c r="D145" s="312" t="b">
        <v>0</v>
      </c>
      <c r="E145" s="313" t="b">
        <v>0</v>
      </c>
      <c r="F145" s="313" t="b">
        <v>0</v>
      </c>
      <c r="G145" s="313" t="b">
        <v>0</v>
      </c>
      <c r="H145" s="313" t="b">
        <v>0</v>
      </c>
      <c r="I145" s="313" t="b">
        <v>0</v>
      </c>
      <c r="J145" s="314" t="b">
        <v>0</v>
      </c>
      <c r="K145" s="302" t="b">
        <v>0</v>
      </c>
      <c r="L145" s="303" t="b">
        <v>0</v>
      </c>
      <c r="M145" s="303" t="b">
        <v>0</v>
      </c>
      <c r="N145" s="303" t="b">
        <v>0</v>
      </c>
      <c r="O145" s="303" t="b">
        <v>0</v>
      </c>
      <c r="P145" s="303" t="b">
        <v>0</v>
      </c>
      <c r="Q145" s="304" t="b">
        <v>0</v>
      </c>
      <c r="R145" s="312" t="b">
        <v>0</v>
      </c>
      <c r="S145" s="313" t="b">
        <v>0</v>
      </c>
      <c r="T145" s="313" t="b">
        <v>0</v>
      </c>
      <c r="U145" s="313" t="b">
        <v>0</v>
      </c>
      <c r="V145" s="313" t="b">
        <v>0</v>
      </c>
      <c r="W145" s="313" t="b">
        <v>0</v>
      </c>
      <c r="X145" s="314" t="b">
        <v>0</v>
      </c>
      <c r="Y145" s="302" t="b">
        <v>0</v>
      </c>
      <c r="Z145" s="303" t="b">
        <v>0</v>
      </c>
      <c r="AA145" s="303" t="b">
        <v>0</v>
      </c>
      <c r="AB145" s="303" t="b">
        <v>0</v>
      </c>
      <c r="AC145" s="303" t="b">
        <v>0</v>
      </c>
      <c r="AD145" s="303" t="b">
        <v>0</v>
      </c>
      <c r="AE145" s="304" t="b">
        <v>0</v>
      </c>
      <c r="AF145" s="312" t="b">
        <v>0</v>
      </c>
      <c r="AG145" s="314" t="b">
        <v>0</v>
      </c>
      <c r="AI145" s="23">
        <f>COUNTA(D145:AG145)</f>
        <v>30</v>
      </c>
      <c r="AJ145" s="23">
        <f t="shared" ref="AJ145:AJ151" si="146">COUNTIF(D145:AG145, TRUE)</f>
        <v>0</v>
      </c>
      <c r="AK145" s="24">
        <f>AJ145/AI145</f>
        <v>0</v>
      </c>
    </row>
    <row r="146" spans="3:38" ht="22.5" customHeight="1" x14ac:dyDescent="0.25">
      <c r="C146" s="299" t="s">
        <v>15</v>
      </c>
      <c r="D146" s="315" t="b">
        <v>0</v>
      </c>
      <c r="E146" s="316" t="b">
        <v>0</v>
      </c>
      <c r="F146" s="316" t="b">
        <v>0</v>
      </c>
      <c r="G146" s="316" t="b">
        <v>0</v>
      </c>
      <c r="H146" s="316" t="b">
        <v>0</v>
      </c>
      <c r="I146" s="316" t="b">
        <v>0</v>
      </c>
      <c r="J146" s="317" t="b">
        <v>0</v>
      </c>
      <c r="K146" s="305" t="b">
        <v>0</v>
      </c>
      <c r="L146" s="306" t="b">
        <v>0</v>
      </c>
      <c r="M146" s="306" t="b">
        <v>0</v>
      </c>
      <c r="N146" s="306" t="b">
        <v>0</v>
      </c>
      <c r="O146" s="306" t="b">
        <v>0</v>
      </c>
      <c r="P146" s="306" t="b">
        <v>0</v>
      </c>
      <c r="Q146" s="307" t="b">
        <v>0</v>
      </c>
      <c r="R146" s="315" t="b">
        <v>0</v>
      </c>
      <c r="S146" s="316" t="b">
        <v>0</v>
      </c>
      <c r="T146" s="316" t="b">
        <v>0</v>
      </c>
      <c r="U146" s="316" t="b">
        <v>0</v>
      </c>
      <c r="V146" s="316" t="b">
        <v>0</v>
      </c>
      <c r="W146" s="316" t="b">
        <v>0</v>
      </c>
      <c r="X146" s="317" t="b">
        <v>0</v>
      </c>
      <c r="Y146" s="305" t="b">
        <v>0</v>
      </c>
      <c r="Z146" s="306" t="b">
        <v>0</v>
      </c>
      <c r="AA146" s="306" t="b">
        <v>0</v>
      </c>
      <c r="AB146" s="306" t="b">
        <v>0</v>
      </c>
      <c r="AC146" s="306" t="b">
        <v>0</v>
      </c>
      <c r="AD146" s="306" t="b">
        <v>0</v>
      </c>
      <c r="AE146" s="307" t="b">
        <v>0</v>
      </c>
      <c r="AF146" s="315" t="b">
        <v>0</v>
      </c>
      <c r="AG146" s="317" t="b">
        <v>0</v>
      </c>
      <c r="AI146" s="23">
        <f>COUNTA(D146:AG146)</f>
        <v>30</v>
      </c>
      <c r="AJ146" s="23">
        <f t="shared" si="146"/>
        <v>0</v>
      </c>
      <c r="AK146" s="24">
        <f t="shared" ref="AK146:AK151" si="147">AJ146/AI146</f>
        <v>0</v>
      </c>
    </row>
    <row r="147" spans="3:38" ht="22.5" customHeight="1" x14ac:dyDescent="0.25">
      <c r="C147" s="299" t="s">
        <v>16</v>
      </c>
      <c r="D147" s="315" t="b">
        <v>0</v>
      </c>
      <c r="E147" s="316" t="b">
        <v>0</v>
      </c>
      <c r="F147" s="316" t="b">
        <v>0</v>
      </c>
      <c r="G147" s="316" t="b">
        <v>0</v>
      </c>
      <c r="H147" s="316" t="b">
        <v>0</v>
      </c>
      <c r="I147" s="316" t="b">
        <v>0</v>
      </c>
      <c r="J147" s="317" t="b">
        <v>0</v>
      </c>
      <c r="K147" s="305" t="b">
        <v>0</v>
      </c>
      <c r="L147" s="306" t="b">
        <v>0</v>
      </c>
      <c r="M147" s="306" t="b">
        <v>0</v>
      </c>
      <c r="N147" s="306" t="b">
        <v>0</v>
      </c>
      <c r="O147" s="306" t="b">
        <v>0</v>
      </c>
      <c r="P147" s="306" t="b">
        <v>0</v>
      </c>
      <c r="Q147" s="307" t="b">
        <v>0</v>
      </c>
      <c r="R147" s="315" t="b">
        <v>0</v>
      </c>
      <c r="S147" s="316" t="b">
        <v>0</v>
      </c>
      <c r="T147" s="316" t="b">
        <v>0</v>
      </c>
      <c r="U147" s="316" t="b">
        <v>0</v>
      </c>
      <c r="V147" s="316" t="b">
        <v>0</v>
      </c>
      <c r="W147" s="316" t="b">
        <v>0</v>
      </c>
      <c r="X147" s="317" t="b">
        <v>0</v>
      </c>
      <c r="Y147" s="305" t="b">
        <v>0</v>
      </c>
      <c r="Z147" s="306" t="b">
        <v>0</v>
      </c>
      <c r="AA147" s="306" t="b">
        <v>0</v>
      </c>
      <c r="AB147" s="306" t="b">
        <v>0</v>
      </c>
      <c r="AC147" s="306" t="b">
        <v>0</v>
      </c>
      <c r="AD147" s="306" t="b">
        <v>0</v>
      </c>
      <c r="AE147" s="307" t="b">
        <v>0</v>
      </c>
      <c r="AF147" s="315" t="b">
        <v>0</v>
      </c>
      <c r="AG147" s="317" t="b">
        <v>0</v>
      </c>
      <c r="AI147" s="23">
        <f t="shared" ref="AI147:AI151" si="148">COUNTA(D147:AG147)</f>
        <v>30</v>
      </c>
      <c r="AJ147" s="23">
        <f t="shared" si="146"/>
        <v>0</v>
      </c>
      <c r="AK147" s="24">
        <f t="shared" si="147"/>
        <v>0</v>
      </c>
    </row>
    <row r="148" spans="3:38" ht="22.5" customHeight="1" x14ac:dyDescent="0.25">
      <c r="C148" s="299" t="s">
        <v>17</v>
      </c>
      <c r="D148" s="315" t="b">
        <v>0</v>
      </c>
      <c r="E148" s="316" t="b">
        <v>0</v>
      </c>
      <c r="F148" s="316" t="b">
        <v>0</v>
      </c>
      <c r="G148" s="316" t="b">
        <v>0</v>
      </c>
      <c r="H148" s="316" t="b">
        <v>0</v>
      </c>
      <c r="I148" s="316" t="b">
        <v>0</v>
      </c>
      <c r="J148" s="317" t="b">
        <v>0</v>
      </c>
      <c r="K148" s="305" t="b">
        <v>0</v>
      </c>
      <c r="L148" s="306" t="b">
        <v>0</v>
      </c>
      <c r="M148" s="306" t="b">
        <v>0</v>
      </c>
      <c r="N148" s="306" t="b">
        <v>0</v>
      </c>
      <c r="O148" s="306" t="b">
        <v>0</v>
      </c>
      <c r="P148" s="306" t="b">
        <v>0</v>
      </c>
      <c r="Q148" s="307" t="b">
        <v>0</v>
      </c>
      <c r="R148" s="315" t="b">
        <v>0</v>
      </c>
      <c r="S148" s="316" t="b">
        <v>0</v>
      </c>
      <c r="T148" s="316" t="b">
        <v>0</v>
      </c>
      <c r="U148" s="316" t="b">
        <v>0</v>
      </c>
      <c r="V148" s="316" t="b">
        <v>0</v>
      </c>
      <c r="W148" s="316" t="b">
        <v>0</v>
      </c>
      <c r="X148" s="317" t="b">
        <v>0</v>
      </c>
      <c r="Y148" s="305" t="b">
        <v>0</v>
      </c>
      <c r="Z148" s="306" t="b">
        <v>0</v>
      </c>
      <c r="AA148" s="306" t="b">
        <v>0</v>
      </c>
      <c r="AB148" s="306" t="b">
        <v>0</v>
      </c>
      <c r="AC148" s="306" t="b">
        <v>0</v>
      </c>
      <c r="AD148" s="306" t="b">
        <v>0</v>
      </c>
      <c r="AE148" s="307" t="b">
        <v>0</v>
      </c>
      <c r="AF148" s="315" t="b">
        <v>0</v>
      </c>
      <c r="AG148" s="317" t="b">
        <v>0</v>
      </c>
      <c r="AI148" s="23">
        <f t="shared" si="148"/>
        <v>30</v>
      </c>
      <c r="AJ148" s="23">
        <f t="shared" si="146"/>
        <v>0</v>
      </c>
      <c r="AK148" s="24">
        <f t="shared" si="147"/>
        <v>0</v>
      </c>
    </row>
    <row r="149" spans="3:38" ht="22.5" customHeight="1" x14ac:dyDescent="0.25">
      <c r="C149" s="299" t="s">
        <v>19</v>
      </c>
      <c r="D149" s="315" t="b">
        <v>0</v>
      </c>
      <c r="E149" s="316" t="b">
        <v>0</v>
      </c>
      <c r="F149" s="316" t="b">
        <v>0</v>
      </c>
      <c r="G149" s="316" t="b">
        <v>0</v>
      </c>
      <c r="H149" s="316" t="b">
        <v>0</v>
      </c>
      <c r="I149" s="316" t="b">
        <v>0</v>
      </c>
      <c r="J149" s="317" t="b">
        <v>0</v>
      </c>
      <c r="K149" s="305" t="b">
        <v>0</v>
      </c>
      <c r="L149" s="306" t="b">
        <v>0</v>
      </c>
      <c r="M149" s="306" t="b">
        <v>0</v>
      </c>
      <c r="N149" s="306" t="b">
        <v>0</v>
      </c>
      <c r="O149" s="306" t="b">
        <v>0</v>
      </c>
      <c r="P149" s="306" t="b">
        <v>0</v>
      </c>
      <c r="Q149" s="307" t="b">
        <v>0</v>
      </c>
      <c r="R149" s="315" t="b">
        <v>0</v>
      </c>
      <c r="S149" s="316" t="b">
        <v>0</v>
      </c>
      <c r="T149" s="316" t="b">
        <v>0</v>
      </c>
      <c r="U149" s="316" t="b">
        <v>0</v>
      </c>
      <c r="V149" s="316" t="b">
        <v>0</v>
      </c>
      <c r="W149" s="316" t="b">
        <v>0</v>
      </c>
      <c r="X149" s="317" t="b">
        <v>0</v>
      </c>
      <c r="Y149" s="305" t="b">
        <v>0</v>
      </c>
      <c r="Z149" s="306" t="b">
        <v>0</v>
      </c>
      <c r="AA149" s="306" t="b">
        <v>0</v>
      </c>
      <c r="AB149" s="306" t="b">
        <v>0</v>
      </c>
      <c r="AC149" s="306" t="b">
        <v>0</v>
      </c>
      <c r="AD149" s="306" t="b">
        <v>0</v>
      </c>
      <c r="AE149" s="307" t="b">
        <v>0</v>
      </c>
      <c r="AF149" s="315" t="b">
        <v>0</v>
      </c>
      <c r="AG149" s="317" t="b">
        <v>0</v>
      </c>
      <c r="AI149" s="23">
        <f t="shared" si="148"/>
        <v>30</v>
      </c>
      <c r="AJ149" s="23">
        <f t="shared" si="146"/>
        <v>0</v>
      </c>
      <c r="AK149" s="24">
        <f t="shared" si="147"/>
        <v>0</v>
      </c>
    </row>
    <row r="150" spans="3:38" ht="22.5" customHeight="1" x14ac:dyDescent="0.25">
      <c r="C150" s="299" t="s">
        <v>20</v>
      </c>
      <c r="D150" s="315" t="b">
        <v>0</v>
      </c>
      <c r="E150" s="316" t="b">
        <v>0</v>
      </c>
      <c r="F150" s="316" t="b">
        <v>0</v>
      </c>
      <c r="G150" s="316" t="b">
        <v>0</v>
      </c>
      <c r="H150" s="316" t="b">
        <v>0</v>
      </c>
      <c r="I150" s="316" t="b">
        <v>0</v>
      </c>
      <c r="J150" s="317" t="b">
        <v>0</v>
      </c>
      <c r="K150" s="305" t="b">
        <v>0</v>
      </c>
      <c r="L150" s="306" t="b">
        <v>0</v>
      </c>
      <c r="M150" s="306" t="b">
        <v>0</v>
      </c>
      <c r="N150" s="306" t="b">
        <v>0</v>
      </c>
      <c r="O150" s="306" t="b">
        <v>0</v>
      </c>
      <c r="P150" s="306" t="b">
        <v>0</v>
      </c>
      <c r="Q150" s="307" t="b">
        <v>0</v>
      </c>
      <c r="R150" s="315" t="b">
        <v>0</v>
      </c>
      <c r="S150" s="316" t="b">
        <v>0</v>
      </c>
      <c r="T150" s="316" t="b">
        <v>0</v>
      </c>
      <c r="U150" s="316" t="b">
        <v>0</v>
      </c>
      <c r="V150" s="316" t="b">
        <v>0</v>
      </c>
      <c r="W150" s="316" t="b">
        <v>0</v>
      </c>
      <c r="X150" s="317" t="b">
        <v>0</v>
      </c>
      <c r="Y150" s="305" t="b">
        <v>0</v>
      </c>
      <c r="Z150" s="306" t="b">
        <v>0</v>
      </c>
      <c r="AA150" s="306" t="b">
        <v>0</v>
      </c>
      <c r="AB150" s="306" t="b">
        <v>0</v>
      </c>
      <c r="AC150" s="306" t="b">
        <v>0</v>
      </c>
      <c r="AD150" s="306" t="b">
        <v>0</v>
      </c>
      <c r="AE150" s="307" t="b">
        <v>0</v>
      </c>
      <c r="AF150" s="315" t="b">
        <v>0</v>
      </c>
      <c r="AG150" s="317" t="b">
        <v>0</v>
      </c>
      <c r="AI150" s="23">
        <f t="shared" si="148"/>
        <v>30</v>
      </c>
      <c r="AJ150" s="23">
        <f t="shared" si="146"/>
        <v>0</v>
      </c>
      <c r="AK150" s="24">
        <f t="shared" si="147"/>
        <v>0</v>
      </c>
    </row>
    <row r="151" spans="3:38" ht="22.5" customHeight="1" x14ac:dyDescent="0.25">
      <c r="C151" s="300" t="s">
        <v>18</v>
      </c>
      <c r="D151" s="318" t="b">
        <v>0</v>
      </c>
      <c r="E151" s="319" t="b">
        <v>0</v>
      </c>
      <c r="F151" s="319" t="b">
        <v>0</v>
      </c>
      <c r="G151" s="319" t="b">
        <v>0</v>
      </c>
      <c r="H151" s="319" t="b">
        <v>0</v>
      </c>
      <c r="I151" s="319" t="b">
        <v>0</v>
      </c>
      <c r="J151" s="320" t="b">
        <v>0</v>
      </c>
      <c r="K151" s="308" t="b">
        <v>0</v>
      </c>
      <c r="L151" s="309" t="b">
        <v>0</v>
      </c>
      <c r="M151" s="309" t="b">
        <v>0</v>
      </c>
      <c r="N151" s="309" t="b">
        <v>0</v>
      </c>
      <c r="O151" s="309" t="b">
        <v>0</v>
      </c>
      <c r="P151" s="309" t="b">
        <v>0</v>
      </c>
      <c r="Q151" s="310" t="b">
        <v>0</v>
      </c>
      <c r="R151" s="318" t="b">
        <v>0</v>
      </c>
      <c r="S151" s="319" t="b">
        <v>0</v>
      </c>
      <c r="T151" s="319" t="b">
        <v>0</v>
      </c>
      <c r="U151" s="319" t="b">
        <v>0</v>
      </c>
      <c r="V151" s="319" t="b">
        <v>0</v>
      </c>
      <c r="W151" s="319" t="b">
        <v>0</v>
      </c>
      <c r="X151" s="320" t="b">
        <v>0</v>
      </c>
      <c r="Y151" s="308" t="b">
        <v>0</v>
      </c>
      <c r="Z151" s="309" t="b">
        <v>0</v>
      </c>
      <c r="AA151" s="309" t="b">
        <v>0</v>
      </c>
      <c r="AB151" s="309" t="b">
        <v>0</v>
      </c>
      <c r="AC151" s="309" t="b">
        <v>0</v>
      </c>
      <c r="AD151" s="309" t="b">
        <v>0</v>
      </c>
      <c r="AE151" s="310" t="b">
        <v>0</v>
      </c>
      <c r="AF151" s="318" t="b">
        <v>0</v>
      </c>
      <c r="AG151" s="320" t="b">
        <v>0</v>
      </c>
      <c r="AI151" s="23">
        <f t="shared" si="148"/>
        <v>30</v>
      </c>
      <c r="AJ151" s="23">
        <f t="shared" si="146"/>
        <v>0</v>
      </c>
      <c r="AK151" s="24">
        <f t="shared" si="147"/>
        <v>0</v>
      </c>
    </row>
    <row r="152" spans="3:38" ht="22.5" customHeight="1" x14ac:dyDescent="0.25">
      <c r="D152">
        <f>COUNTIF(D145:D151, TRUE)</f>
        <v>0</v>
      </c>
      <c r="E152">
        <f t="shared" ref="E152" si="149">COUNTIF(E145:E151, TRUE)</f>
        <v>0</v>
      </c>
      <c r="F152">
        <f t="shared" ref="F152" si="150">COUNTIF(F145:F151, TRUE)</f>
        <v>0</v>
      </c>
      <c r="G152">
        <f t="shared" ref="G152" si="151">COUNTIF(G145:G151, TRUE)</f>
        <v>0</v>
      </c>
      <c r="H152">
        <f t="shared" ref="H152" si="152">COUNTIF(H145:H151, TRUE)</f>
        <v>0</v>
      </c>
      <c r="I152">
        <f t="shared" ref="I152" si="153">COUNTIF(I145:I151, TRUE)</f>
        <v>0</v>
      </c>
      <c r="J152">
        <f t="shared" ref="J152" si="154">COUNTIF(J145:J151, TRUE)</f>
        <v>0</v>
      </c>
      <c r="K152">
        <f t="shared" ref="K152" si="155">COUNTIF(K145:K151, TRUE)</f>
        <v>0</v>
      </c>
      <c r="L152">
        <f t="shared" ref="L152" si="156">COUNTIF(L145:L151, TRUE)</f>
        <v>0</v>
      </c>
      <c r="M152">
        <f t="shared" ref="M152" si="157">COUNTIF(M145:M151, TRUE)</f>
        <v>0</v>
      </c>
      <c r="N152">
        <f t="shared" ref="N152" si="158">COUNTIF(N145:N151, TRUE)</f>
        <v>0</v>
      </c>
      <c r="O152">
        <f t="shared" ref="O152" si="159">COUNTIF(O145:O151, TRUE)</f>
        <v>0</v>
      </c>
      <c r="P152">
        <f t="shared" ref="P152" si="160">COUNTIF(P145:P151, TRUE)</f>
        <v>0</v>
      </c>
      <c r="Q152">
        <f t="shared" ref="Q152" si="161">COUNTIF(Q145:Q151, TRUE)</f>
        <v>0</v>
      </c>
      <c r="R152">
        <f t="shared" ref="R152" si="162">COUNTIF(R145:R151, TRUE)</f>
        <v>0</v>
      </c>
      <c r="S152">
        <f t="shared" ref="S152" si="163">COUNTIF(S145:S151, TRUE)</f>
        <v>0</v>
      </c>
      <c r="T152">
        <f t="shared" ref="T152" si="164">COUNTIF(T145:T151, TRUE)</f>
        <v>0</v>
      </c>
      <c r="U152">
        <f t="shared" ref="U152" si="165">COUNTIF(U145:U151, TRUE)</f>
        <v>0</v>
      </c>
      <c r="V152">
        <f t="shared" ref="V152" si="166">COUNTIF(V145:V151, TRUE)</f>
        <v>0</v>
      </c>
      <c r="W152">
        <f t="shared" ref="W152" si="167">COUNTIF(W145:W151, TRUE)</f>
        <v>0</v>
      </c>
      <c r="X152">
        <f t="shared" ref="X152" si="168">COUNTIF(X145:X151, TRUE)</f>
        <v>0</v>
      </c>
      <c r="Y152">
        <f t="shared" ref="Y152" si="169">COUNTIF(Y145:Y151, TRUE)</f>
        <v>0</v>
      </c>
      <c r="Z152">
        <f t="shared" ref="Z152" si="170">COUNTIF(Z145:Z151, TRUE)</f>
        <v>0</v>
      </c>
      <c r="AA152">
        <f t="shared" ref="AA152" si="171">COUNTIF(AA145:AA151, TRUE)</f>
        <v>0</v>
      </c>
      <c r="AB152">
        <f t="shared" ref="AB152" si="172">COUNTIF(AB145:AB151, TRUE)</f>
        <v>0</v>
      </c>
      <c r="AC152">
        <f t="shared" ref="AC152" si="173">COUNTIF(AC145:AC151, TRUE)</f>
        <v>0</v>
      </c>
      <c r="AD152">
        <f t="shared" ref="AD152" si="174">COUNTIF(AD145:AD151, TRUE)</f>
        <v>0</v>
      </c>
      <c r="AE152">
        <f t="shared" ref="AE152" si="175">COUNTIF(AE145:AE151, TRUE)</f>
        <v>0</v>
      </c>
      <c r="AF152">
        <f t="shared" ref="AF152" si="176">COUNTIF(AF145:AF151, TRUE)</f>
        <v>0</v>
      </c>
      <c r="AG152">
        <f t="shared" ref="AG152" si="177">COUNTIF(AG145:AG151, TRUE)</f>
        <v>0</v>
      </c>
    </row>
    <row r="156" spans="3:38" ht="22.5" customHeight="1" x14ac:dyDescent="0.25">
      <c r="C156" s="322"/>
      <c r="D156" s="523" t="s">
        <v>51</v>
      </c>
      <c r="E156" s="523"/>
      <c r="F156" s="523"/>
      <c r="G156" s="523"/>
      <c r="H156" s="523"/>
      <c r="I156" s="523"/>
      <c r="J156" s="523"/>
      <c r="K156" s="323"/>
      <c r="L156" s="323"/>
      <c r="M156" s="323"/>
      <c r="N156" s="324" t="s">
        <v>21</v>
      </c>
      <c r="O156" s="323"/>
      <c r="P156" s="323"/>
      <c r="Q156" s="323"/>
      <c r="R156" s="323"/>
      <c r="S156" s="324" t="s">
        <v>23</v>
      </c>
      <c r="T156" s="323"/>
      <c r="U156" s="325"/>
      <c r="V156" s="323"/>
      <c r="W156" s="323"/>
      <c r="X156" s="324" t="s">
        <v>27</v>
      </c>
      <c r="Y156" s="323"/>
      <c r="Z156" s="323"/>
      <c r="AA156" s="323"/>
      <c r="AB156" s="324" t="s">
        <v>28</v>
      </c>
      <c r="AC156" s="323"/>
      <c r="AD156" s="323"/>
      <c r="AE156" s="323"/>
      <c r="AF156" s="323"/>
      <c r="AG156" s="323"/>
      <c r="AH156" s="326"/>
    </row>
    <row r="157" spans="3:38" ht="22.5" customHeight="1" x14ac:dyDescent="0.25">
      <c r="C157" s="327"/>
      <c r="D157" s="524"/>
      <c r="E157" s="524"/>
      <c r="F157" s="524"/>
      <c r="G157" s="524"/>
      <c r="H157" s="524"/>
      <c r="I157" s="524"/>
      <c r="J157" s="524"/>
      <c r="K157" s="328"/>
      <c r="L157" s="328"/>
      <c r="M157" s="328"/>
      <c r="N157" s="329">
        <f>COUNTA(C162:C168)</f>
        <v>7</v>
      </c>
      <c r="O157" s="328"/>
      <c r="P157" s="328"/>
      <c r="Q157" s="328"/>
      <c r="R157" s="328"/>
      <c r="S157" s="329">
        <f>COUNTIF(D162:AG168,TRUE)</f>
        <v>0</v>
      </c>
      <c r="T157" s="328"/>
      <c r="U157" s="330"/>
      <c r="V157" s="328"/>
      <c r="W157" s="525">
        <f>COUNTIF(D162:AH168, TRUE)/(COUNTA(D161:AH161)*COUNTA(C162:C168))</f>
        <v>0</v>
      </c>
      <c r="X157" s="525"/>
      <c r="Y157" s="525"/>
      <c r="Z157" s="328"/>
      <c r="AA157" s="328"/>
      <c r="AB157" s="331">
        <f>COUNTIF(D162:AH168, TRUE)/(COUNTA(D161:AH161)*COUNTA(C162:C168))</f>
        <v>0</v>
      </c>
      <c r="AC157" s="328"/>
      <c r="AD157" s="328"/>
      <c r="AE157" s="328"/>
      <c r="AF157" s="328"/>
      <c r="AG157" s="328"/>
      <c r="AH157" s="332"/>
    </row>
    <row r="159" spans="3:38" ht="22.5" customHeight="1" x14ac:dyDescent="0.25">
      <c r="C159" s="526" t="s">
        <v>1</v>
      </c>
      <c r="D159" s="529" t="s">
        <v>9</v>
      </c>
      <c r="E159" s="530"/>
      <c r="F159" s="530"/>
      <c r="G159" s="530"/>
      <c r="H159" s="530"/>
      <c r="I159" s="530"/>
      <c r="J159" s="531"/>
      <c r="K159" s="532" t="s">
        <v>10</v>
      </c>
      <c r="L159" s="533"/>
      <c r="M159" s="533"/>
      <c r="N159" s="533"/>
      <c r="O159" s="533"/>
      <c r="P159" s="533"/>
      <c r="Q159" s="534"/>
      <c r="R159" s="529" t="s">
        <v>11</v>
      </c>
      <c r="S159" s="530"/>
      <c r="T159" s="530"/>
      <c r="U159" s="530"/>
      <c r="V159" s="530"/>
      <c r="W159" s="530"/>
      <c r="X159" s="531"/>
      <c r="Y159" s="532" t="s">
        <v>12</v>
      </c>
      <c r="Z159" s="533"/>
      <c r="AA159" s="533"/>
      <c r="AB159" s="533"/>
      <c r="AC159" s="533"/>
      <c r="AD159" s="533"/>
      <c r="AE159" s="534"/>
      <c r="AF159" s="529" t="s">
        <v>13</v>
      </c>
      <c r="AG159" s="530"/>
      <c r="AH159" s="531"/>
      <c r="AJ159" s="494" t="s">
        <v>24</v>
      </c>
      <c r="AK159" s="495"/>
      <c r="AL159" s="496"/>
    </row>
    <row r="160" spans="3:38" ht="22.5" customHeight="1" x14ac:dyDescent="0.25">
      <c r="C160" s="527"/>
      <c r="D160" s="333" t="s">
        <v>7</v>
      </c>
      <c r="E160" s="333" t="s">
        <v>8</v>
      </c>
      <c r="F160" s="333" t="s">
        <v>2</v>
      </c>
      <c r="G160" s="333" t="s">
        <v>3</v>
      </c>
      <c r="H160" s="333" t="s">
        <v>4</v>
      </c>
      <c r="I160" s="333" t="s">
        <v>5</v>
      </c>
      <c r="J160" s="333" t="s">
        <v>44</v>
      </c>
      <c r="K160" s="346" t="s">
        <v>7</v>
      </c>
      <c r="L160" s="346" t="s">
        <v>8</v>
      </c>
      <c r="M160" s="346" t="s">
        <v>2</v>
      </c>
      <c r="N160" s="346" t="s">
        <v>3</v>
      </c>
      <c r="O160" s="346" t="s">
        <v>4</v>
      </c>
      <c r="P160" s="346" t="s">
        <v>5</v>
      </c>
      <c r="Q160" s="346" t="s">
        <v>44</v>
      </c>
      <c r="R160" s="333" t="s">
        <v>7</v>
      </c>
      <c r="S160" s="333" t="s">
        <v>8</v>
      </c>
      <c r="T160" s="333" t="s">
        <v>2</v>
      </c>
      <c r="U160" s="333" t="s">
        <v>3</v>
      </c>
      <c r="V160" s="333" t="s">
        <v>4</v>
      </c>
      <c r="W160" s="333" t="s">
        <v>5</v>
      </c>
      <c r="X160" s="333" t="s">
        <v>44</v>
      </c>
      <c r="Y160" s="346" t="s">
        <v>7</v>
      </c>
      <c r="Z160" s="346" t="s">
        <v>8</v>
      </c>
      <c r="AA160" s="346" t="s">
        <v>2</v>
      </c>
      <c r="AB160" s="346" t="s">
        <v>3</v>
      </c>
      <c r="AC160" s="346" t="s">
        <v>4</v>
      </c>
      <c r="AD160" s="346" t="s">
        <v>5</v>
      </c>
      <c r="AE160" s="346" t="s">
        <v>44</v>
      </c>
      <c r="AF160" s="333" t="s">
        <v>7</v>
      </c>
      <c r="AG160" s="333" t="s">
        <v>8</v>
      </c>
      <c r="AH160" s="333" t="s">
        <v>2</v>
      </c>
      <c r="AJ160" s="497"/>
      <c r="AK160" s="498"/>
      <c r="AL160" s="499"/>
    </row>
    <row r="161" spans="3:38" ht="22.5" customHeight="1" x14ac:dyDescent="0.25">
      <c r="C161" s="528"/>
      <c r="D161" s="333">
        <v>1</v>
      </c>
      <c r="E161" s="333">
        <v>2</v>
      </c>
      <c r="F161" s="333">
        <v>3</v>
      </c>
      <c r="G161" s="333">
        <v>4</v>
      </c>
      <c r="H161" s="333">
        <v>5</v>
      </c>
      <c r="I161" s="333">
        <v>6</v>
      </c>
      <c r="J161" s="333">
        <v>7</v>
      </c>
      <c r="K161" s="346">
        <v>8</v>
      </c>
      <c r="L161" s="346">
        <v>9</v>
      </c>
      <c r="M161" s="346">
        <v>10</v>
      </c>
      <c r="N161" s="346">
        <v>11</v>
      </c>
      <c r="O161" s="346">
        <v>12</v>
      </c>
      <c r="P161" s="346">
        <v>13</v>
      </c>
      <c r="Q161" s="346">
        <v>14</v>
      </c>
      <c r="R161" s="333">
        <v>15</v>
      </c>
      <c r="S161" s="333">
        <v>16</v>
      </c>
      <c r="T161" s="333">
        <v>17</v>
      </c>
      <c r="U161" s="333">
        <v>18</v>
      </c>
      <c r="V161" s="333">
        <v>19</v>
      </c>
      <c r="W161" s="333">
        <v>20</v>
      </c>
      <c r="X161" s="333">
        <v>21</v>
      </c>
      <c r="Y161" s="346">
        <v>22</v>
      </c>
      <c r="Z161" s="346">
        <v>23</v>
      </c>
      <c r="AA161" s="346">
        <v>24</v>
      </c>
      <c r="AB161" s="346">
        <v>25</v>
      </c>
      <c r="AC161" s="346">
        <v>26</v>
      </c>
      <c r="AD161" s="346">
        <v>27</v>
      </c>
      <c r="AE161" s="346">
        <v>28</v>
      </c>
      <c r="AF161" s="333">
        <v>29</v>
      </c>
      <c r="AG161" s="333">
        <v>30</v>
      </c>
      <c r="AH161" s="333">
        <v>31</v>
      </c>
      <c r="AJ161" s="356" t="s">
        <v>25</v>
      </c>
      <c r="AK161" s="356" t="s">
        <v>26</v>
      </c>
      <c r="AL161" s="356" t="s">
        <v>27</v>
      </c>
    </row>
    <row r="162" spans="3:38" ht="22.5" customHeight="1" x14ac:dyDescent="0.25">
      <c r="C162" s="343" t="s">
        <v>14</v>
      </c>
      <c r="D162" s="334" t="b">
        <v>0</v>
      </c>
      <c r="E162" s="335" t="b">
        <v>0</v>
      </c>
      <c r="F162" s="335" t="b">
        <v>0</v>
      </c>
      <c r="G162" s="335" t="b">
        <v>0</v>
      </c>
      <c r="H162" s="335" t="b">
        <v>0</v>
      </c>
      <c r="I162" s="335" t="b">
        <v>0</v>
      </c>
      <c r="J162" s="336" t="b">
        <v>0</v>
      </c>
      <c r="K162" s="347" t="b">
        <v>0</v>
      </c>
      <c r="L162" s="348" t="b">
        <v>0</v>
      </c>
      <c r="M162" s="348" t="b">
        <v>0</v>
      </c>
      <c r="N162" s="348" t="b">
        <v>0</v>
      </c>
      <c r="O162" s="348" t="b">
        <v>0</v>
      </c>
      <c r="P162" s="348" t="b">
        <v>0</v>
      </c>
      <c r="Q162" s="349" t="b">
        <v>0</v>
      </c>
      <c r="R162" s="334" t="b">
        <v>0</v>
      </c>
      <c r="S162" s="335" t="b">
        <v>0</v>
      </c>
      <c r="T162" s="335" t="b">
        <v>0</v>
      </c>
      <c r="U162" s="335" t="b">
        <v>0</v>
      </c>
      <c r="V162" s="335" t="b">
        <v>0</v>
      </c>
      <c r="W162" s="335" t="b">
        <v>0</v>
      </c>
      <c r="X162" s="336" t="b">
        <v>0</v>
      </c>
      <c r="Y162" s="347" t="b">
        <v>0</v>
      </c>
      <c r="Z162" s="348" t="b">
        <v>0</v>
      </c>
      <c r="AA162" s="348" t="b">
        <v>0</v>
      </c>
      <c r="AB162" s="348" t="b">
        <v>0</v>
      </c>
      <c r="AC162" s="348" t="b">
        <v>0</v>
      </c>
      <c r="AD162" s="348" t="b">
        <v>0</v>
      </c>
      <c r="AE162" s="349" t="b">
        <v>0</v>
      </c>
      <c r="AF162" s="334" t="b">
        <v>0</v>
      </c>
      <c r="AG162" s="335" t="b">
        <v>0</v>
      </c>
      <c r="AH162" s="335" t="b">
        <v>0</v>
      </c>
      <c r="AJ162" s="23">
        <f>COUNTA(D162:AH162)</f>
        <v>31</v>
      </c>
      <c r="AK162" s="23">
        <f t="shared" ref="AK162:AK168" si="178">COUNTIF(D162:AG162, TRUE)</f>
        <v>0</v>
      </c>
      <c r="AL162" s="24">
        <f>AK162/AJ162</f>
        <v>0</v>
      </c>
    </row>
    <row r="163" spans="3:38" ht="22.5" customHeight="1" x14ac:dyDescent="0.25">
      <c r="C163" s="344" t="s">
        <v>15</v>
      </c>
      <c r="D163" s="337" t="b">
        <v>0</v>
      </c>
      <c r="E163" s="338" t="b">
        <v>0</v>
      </c>
      <c r="F163" s="338" t="b">
        <v>0</v>
      </c>
      <c r="G163" s="338" t="b">
        <v>0</v>
      </c>
      <c r="H163" s="338" t="b">
        <v>0</v>
      </c>
      <c r="I163" s="338" t="b">
        <v>0</v>
      </c>
      <c r="J163" s="339" t="b">
        <v>0</v>
      </c>
      <c r="K163" s="350" t="b">
        <v>0</v>
      </c>
      <c r="L163" s="351" t="b">
        <v>0</v>
      </c>
      <c r="M163" s="351" t="b">
        <v>0</v>
      </c>
      <c r="N163" s="351" t="b">
        <v>0</v>
      </c>
      <c r="O163" s="351" t="b">
        <v>0</v>
      </c>
      <c r="P163" s="351" t="b">
        <v>0</v>
      </c>
      <c r="Q163" s="352" t="b">
        <v>0</v>
      </c>
      <c r="R163" s="337" t="b">
        <v>0</v>
      </c>
      <c r="S163" s="338" t="b">
        <v>0</v>
      </c>
      <c r="T163" s="338" t="b">
        <v>0</v>
      </c>
      <c r="U163" s="338" t="b">
        <v>0</v>
      </c>
      <c r="V163" s="338" t="b">
        <v>0</v>
      </c>
      <c r="W163" s="338" t="b">
        <v>0</v>
      </c>
      <c r="X163" s="339" t="b">
        <v>0</v>
      </c>
      <c r="Y163" s="350" t="b">
        <v>0</v>
      </c>
      <c r="Z163" s="351" t="b">
        <v>0</v>
      </c>
      <c r="AA163" s="351" t="b">
        <v>0</v>
      </c>
      <c r="AB163" s="351" t="b">
        <v>0</v>
      </c>
      <c r="AC163" s="351" t="b">
        <v>0</v>
      </c>
      <c r="AD163" s="351" t="b">
        <v>0</v>
      </c>
      <c r="AE163" s="352" t="b">
        <v>0</v>
      </c>
      <c r="AF163" s="337" t="b">
        <v>0</v>
      </c>
      <c r="AG163" s="338" t="b">
        <v>0</v>
      </c>
      <c r="AH163" s="338" t="b">
        <v>0</v>
      </c>
      <c r="AJ163" s="23">
        <f t="shared" ref="AJ163:AJ168" si="179">COUNTA(D163:AH163)</f>
        <v>31</v>
      </c>
      <c r="AK163" s="23">
        <f t="shared" si="178"/>
        <v>0</v>
      </c>
      <c r="AL163" s="24">
        <f t="shared" ref="AL163:AL168" si="180">AK163/AJ163</f>
        <v>0</v>
      </c>
    </row>
    <row r="164" spans="3:38" ht="22.5" customHeight="1" x14ac:dyDescent="0.25">
      <c r="C164" s="344" t="s">
        <v>16</v>
      </c>
      <c r="D164" s="337" t="b">
        <v>0</v>
      </c>
      <c r="E164" s="338" t="b">
        <v>0</v>
      </c>
      <c r="F164" s="338" t="b">
        <v>0</v>
      </c>
      <c r="G164" s="338" t="b">
        <v>0</v>
      </c>
      <c r="H164" s="338" t="b">
        <v>0</v>
      </c>
      <c r="I164" s="338" t="b">
        <v>0</v>
      </c>
      <c r="J164" s="339" t="b">
        <v>0</v>
      </c>
      <c r="K164" s="350" t="b">
        <v>0</v>
      </c>
      <c r="L164" s="351" t="b">
        <v>0</v>
      </c>
      <c r="M164" s="351" t="b">
        <v>0</v>
      </c>
      <c r="N164" s="351" t="b">
        <v>0</v>
      </c>
      <c r="O164" s="351" t="b">
        <v>0</v>
      </c>
      <c r="P164" s="351" t="b">
        <v>0</v>
      </c>
      <c r="Q164" s="352" t="b">
        <v>0</v>
      </c>
      <c r="R164" s="337" t="b">
        <v>0</v>
      </c>
      <c r="S164" s="338" t="b">
        <v>0</v>
      </c>
      <c r="T164" s="338" t="b">
        <v>0</v>
      </c>
      <c r="U164" s="338" t="b">
        <v>0</v>
      </c>
      <c r="V164" s="338" t="b">
        <v>0</v>
      </c>
      <c r="W164" s="338" t="b">
        <v>0</v>
      </c>
      <c r="X164" s="339" t="b">
        <v>0</v>
      </c>
      <c r="Y164" s="350" t="b">
        <v>0</v>
      </c>
      <c r="Z164" s="351" t="b">
        <v>0</v>
      </c>
      <c r="AA164" s="351" t="b">
        <v>0</v>
      </c>
      <c r="AB164" s="351" t="b">
        <v>0</v>
      </c>
      <c r="AC164" s="351" t="b">
        <v>0</v>
      </c>
      <c r="AD164" s="351" t="b">
        <v>0</v>
      </c>
      <c r="AE164" s="352" t="b">
        <v>0</v>
      </c>
      <c r="AF164" s="337" t="b">
        <v>0</v>
      </c>
      <c r="AG164" s="338" t="b">
        <v>0</v>
      </c>
      <c r="AH164" s="338" t="b">
        <v>0</v>
      </c>
      <c r="AJ164" s="23">
        <f t="shared" si="179"/>
        <v>31</v>
      </c>
      <c r="AK164" s="23">
        <f t="shared" si="178"/>
        <v>0</v>
      </c>
      <c r="AL164" s="24">
        <f t="shared" si="180"/>
        <v>0</v>
      </c>
    </row>
    <row r="165" spans="3:38" ht="22.5" customHeight="1" x14ac:dyDescent="0.25">
      <c r="C165" s="344" t="s">
        <v>17</v>
      </c>
      <c r="D165" s="337" t="b">
        <v>0</v>
      </c>
      <c r="E165" s="338" t="b">
        <v>0</v>
      </c>
      <c r="F165" s="338" t="b">
        <v>0</v>
      </c>
      <c r="G165" s="338" t="b">
        <v>0</v>
      </c>
      <c r="H165" s="338" t="b">
        <v>0</v>
      </c>
      <c r="I165" s="338" t="b">
        <v>0</v>
      </c>
      <c r="J165" s="339" t="b">
        <v>0</v>
      </c>
      <c r="K165" s="350" t="b">
        <v>0</v>
      </c>
      <c r="L165" s="351" t="b">
        <v>0</v>
      </c>
      <c r="M165" s="351" t="b">
        <v>0</v>
      </c>
      <c r="N165" s="351" t="b">
        <v>0</v>
      </c>
      <c r="O165" s="351" t="b">
        <v>0</v>
      </c>
      <c r="P165" s="351" t="b">
        <v>0</v>
      </c>
      <c r="Q165" s="352" t="b">
        <v>0</v>
      </c>
      <c r="R165" s="337" t="b">
        <v>0</v>
      </c>
      <c r="S165" s="338" t="b">
        <v>0</v>
      </c>
      <c r="T165" s="338" t="b">
        <v>0</v>
      </c>
      <c r="U165" s="338" t="b">
        <v>0</v>
      </c>
      <c r="V165" s="338" t="b">
        <v>0</v>
      </c>
      <c r="W165" s="338" t="b">
        <v>0</v>
      </c>
      <c r="X165" s="339" t="b">
        <v>0</v>
      </c>
      <c r="Y165" s="350" t="b">
        <v>0</v>
      </c>
      <c r="Z165" s="351" t="b">
        <v>0</v>
      </c>
      <c r="AA165" s="351" t="b">
        <v>0</v>
      </c>
      <c r="AB165" s="351" t="b">
        <v>0</v>
      </c>
      <c r="AC165" s="351" t="b">
        <v>0</v>
      </c>
      <c r="AD165" s="351" t="b">
        <v>0</v>
      </c>
      <c r="AE165" s="352" t="b">
        <v>0</v>
      </c>
      <c r="AF165" s="337" t="b">
        <v>0</v>
      </c>
      <c r="AG165" s="338" t="b">
        <v>0</v>
      </c>
      <c r="AH165" s="338" t="b">
        <v>0</v>
      </c>
      <c r="AJ165" s="23">
        <f t="shared" si="179"/>
        <v>31</v>
      </c>
      <c r="AK165" s="23">
        <f t="shared" si="178"/>
        <v>0</v>
      </c>
      <c r="AL165" s="24">
        <f t="shared" si="180"/>
        <v>0</v>
      </c>
    </row>
    <row r="166" spans="3:38" ht="22.5" customHeight="1" x14ac:dyDescent="0.25">
      <c r="C166" s="344" t="s">
        <v>19</v>
      </c>
      <c r="D166" s="337" t="b">
        <v>0</v>
      </c>
      <c r="E166" s="338" t="b">
        <v>0</v>
      </c>
      <c r="F166" s="338" t="b">
        <v>0</v>
      </c>
      <c r="G166" s="338" t="b">
        <v>0</v>
      </c>
      <c r="H166" s="338" t="b">
        <v>0</v>
      </c>
      <c r="I166" s="338" t="b">
        <v>0</v>
      </c>
      <c r="J166" s="339" t="b">
        <v>0</v>
      </c>
      <c r="K166" s="350" t="b">
        <v>0</v>
      </c>
      <c r="L166" s="351" t="b">
        <v>0</v>
      </c>
      <c r="M166" s="351" t="b">
        <v>0</v>
      </c>
      <c r="N166" s="351" t="b">
        <v>0</v>
      </c>
      <c r="O166" s="351" t="b">
        <v>0</v>
      </c>
      <c r="P166" s="351" t="b">
        <v>0</v>
      </c>
      <c r="Q166" s="352" t="b">
        <v>0</v>
      </c>
      <c r="R166" s="337" t="b">
        <v>0</v>
      </c>
      <c r="S166" s="338" t="b">
        <v>0</v>
      </c>
      <c r="T166" s="338" t="b">
        <v>0</v>
      </c>
      <c r="U166" s="338" t="b">
        <v>0</v>
      </c>
      <c r="V166" s="338" t="b">
        <v>0</v>
      </c>
      <c r="W166" s="338" t="b">
        <v>0</v>
      </c>
      <c r="X166" s="339" t="b">
        <v>0</v>
      </c>
      <c r="Y166" s="350" t="b">
        <v>0</v>
      </c>
      <c r="Z166" s="351" t="b">
        <v>0</v>
      </c>
      <c r="AA166" s="351" t="b">
        <v>0</v>
      </c>
      <c r="AB166" s="351" t="b">
        <v>0</v>
      </c>
      <c r="AC166" s="351" t="b">
        <v>0</v>
      </c>
      <c r="AD166" s="351" t="b">
        <v>0</v>
      </c>
      <c r="AE166" s="352" t="b">
        <v>0</v>
      </c>
      <c r="AF166" s="337" t="b">
        <v>0</v>
      </c>
      <c r="AG166" s="338" t="b">
        <v>0</v>
      </c>
      <c r="AH166" s="338" t="b">
        <v>0</v>
      </c>
      <c r="AJ166" s="23">
        <f t="shared" si="179"/>
        <v>31</v>
      </c>
      <c r="AK166" s="23">
        <f t="shared" si="178"/>
        <v>0</v>
      </c>
      <c r="AL166" s="24">
        <f t="shared" si="180"/>
        <v>0</v>
      </c>
    </row>
    <row r="167" spans="3:38" ht="22.5" customHeight="1" x14ac:dyDescent="0.25">
      <c r="C167" s="344" t="s">
        <v>20</v>
      </c>
      <c r="D167" s="337" t="b">
        <v>0</v>
      </c>
      <c r="E167" s="338" t="b">
        <v>0</v>
      </c>
      <c r="F167" s="338" t="b">
        <v>0</v>
      </c>
      <c r="G167" s="338" t="b">
        <v>0</v>
      </c>
      <c r="H167" s="338" t="b">
        <v>0</v>
      </c>
      <c r="I167" s="338" t="b">
        <v>0</v>
      </c>
      <c r="J167" s="339" t="b">
        <v>0</v>
      </c>
      <c r="K167" s="350" t="b">
        <v>0</v>
      </c>
      <c r="L167" s="351" t="b">
        <v>0</v>
      </c>
      <c r="M167" s="351" t="b">
        <v>0</v>
      </c>
      <c r="N167" s="351" t="b">
        <v>0</v>
      </c>
      <c r="O167" s="351" t="b">
        <v>0</v>
      </c>
      <c r="P167" s="351" t="b">
        <v>0</v>
      </c>
      <c r="Q167" s="352" t="b">
        <v>0</v>
      </c>
      <c r="R167" s="337" t="b">
        <v>0</v>
      </c>
      <c r="S167" s="338" t="b">
        <v>0</v>
      </c>
      <c r="T167" s="338" t="b">
        <v>0</v>
      </c>
      <c r="U167" s="338" t="b">
        <v>0</v>
      </c>
      <c r="V167" s="338" t="b">
        <v>0</v>
      </c>
      <c r="W167" s="338" t="b">
        <v>0</v>
      </c>
      <c r="X167" s="339" t="b">
        <v>0</v>
      </c>
      <c r="Y167" s="350" t="b">
        <v>0</v>
      </c>
      <c r="Z167" s="351" t="b">
        <v>0</v>
      </c>
      <c r="AA167" s="351" t="b">
        <v>0</v>
      </c>
      <c r="AB167" s="351" t="b">
        <v>0</v>
      </c>
      <c r="AC167" s="351" t="b">
        <v>0</v>
      </c>
      <c r="AD167" s="351" t="b">
        <v>0</v>
      </c>
      <c r="AE167" s="352" t="b">
        <v>0</v>
      </c>
      <c r="AF167" s="337" t="b">
        <v>0</v>
      </c>
      <c r="AG167" s="338" t="b">
        <v>0</v>
      </c>
      <c r="AH167" s="338" t="b">
        <v>0</v>
      </c>
      <c r="AJ167" s="23">
        <f t="shared" si="179"/>
        <v>31</v>
      </c>
      <c r="AK167" s="23">
        <f t="shared" si="178"/>
        <v>0</v>
      </c>
      <c r="AL167" s="24">
        <f t="shared" si="180"/>
        <v>0</v>
      </c>
    </row>
    <row r="168" spans="3:38" ht="22.5" customHeight="1" x14ac:dyDescent="0.25">
      <c r="C168" s="345" t="s">
        <v>18</v>
      </c>
      <c r="D168" s="340" t="b">
        <v>0</v>
      </c>
      <c r="E168" s="341" t="b">
        <v>0</v>
      </c>
      <c r="F168" s="341" t="b">
        <v>0</v>
      </c>
      <c r="G168" s="341" t="b">
        <v>0</v>
      </c>
      <c r="H168" s="341" t="b">
        <v>0</v>
      </c>
      <c r="I168" s="341" t="b">
        <v>0</v>
      </c>
      <c r="J168" s="342" t="b">
        <v>0</v>
      </c>
      <c r="K168" s="353" t="b">
        <v>0</v>
      </c>
      <c r="L168" s="354" t="b">
        <v>0</v>
      </c>
      <c r="M168" s="354" t="b">
        <v>0</v>
      </c>
      <c r="N168" s="354" t="b">
        <v>0</v>
      </c>
      <c r="O168" s="354" t="b">
        <v>0</v>
      </c>
      <c r="P168" s="354" t="b">
        <v>0</v>
      </c>
      <c r="Q168" s="355" t="b">
        <v>0</v>
      </c>
      <c r="R168" s="340" t="b">
        <v>0</v>
      </c>
      <c r="S168" s="341" t="b">
        <v>0</v>
      </c>
      <c r="T168" s="341" t="b">
        <v>0</v>
      </c>
      <c r="U168" s="341" t="b">
        <v>0</v>
      </c>
      <c r="V168" s="341" t="b">
        <v>0</v>
      </c>
      <c r="W168" s="341" t="b">
        <v>0</v>
      </c>
      <c r="X168" s="342" t="b">
        <v>0</v>
      </c>
      <c r="Y168" s="353" t="b">
        <v>0</v>
      </c>
      <c r="Z168" s="354" t="b">
        <v>0</v>
      </c>
      <c r="AA168" s="354" t="b">
        <v>0</v>
      </c>
      <c r="AB168" s="354" t="b">
        <v>0</v>
      </c>
      <c r="AC168" s="354" t="b">
        <v>0</v>
      </c>
      <c r="AD168" s="354" t="b">
        <v>0</v>
      </c>
      <c r="AE168" s="355" t="b">
        <v>0</v>
      </c>
      <c r="AF168" s="340" t="b">
        <v>0</v>
      </c>
      <c r="AG168" s="341" t="b">
        <v>0</v>
      </c>
      <c r="AH168" s="341" t="b">
        <v>0</v>
      </c>
      <c r="AJ168" s="23">
        <f t="shared" si="179"/>
        <v>31</v>
      </c>
      <c r="AK168" s="23">
        <f t="shared" si="178"/>
        <v>0</v>
      </c>
      <c r="AL168" s="24">
        <f t="shared" si="180"/>
        <v>0</v>
      </c>
    </row>
    <row r="169" spans="3:38" ht="22.5" customHeight="1" x14ac:dyDescent="0.25">
      <c r="D169">
        <f>COUNTIF(D162:D168, TRUE)</f>
        <v>0</v>
      </c>
      <c r="E169">
        <f t="shared" ref="E169" si="181">COUNTIF(E162:E168, TRUE)</f>
        <v>0</v>
      </c>
      <c r="F169">
        <f t="shared" ref="F169" si="182">COUNTIF(F162:F168, TRUE)</f>
        <v>0</v>
      </c>
      <c r="G169">
        <f t="shared" ref="G169" si="183">COUNTIF(G162:G168, TRUE)</f>
        <v>0</v>
      </c>
      <c r="H169">
        <f t="shared" ref="H169" si="184">COUNTIF(H162:H168, TRUE)</f>
        <v>0</v>
      </c>
      <c r="I169">
        <f t="shared" ref="I169" si="185">COUNTIF(I162:I168, TRUE)</f>
        <v>0</v>
      </c>
      <c r="J169">
        <f t="shared" ref="J169" si="186">COUNTIF(J162:J168, TRUE)</f>
        <v>0</v>
      </c>
      <c r="K169">
        <f t="shared" ref="K169" si="187">COUNTIF(K162:K168, TRUE)</f>
        <v>0</v>
      </c>
      <c r="L169">
        <f t="shared" ref="L169" si="188">COUNTIF(L162:L168, TRUE)</f>
        <v>0</v>
      </c>
      <c r="M169">
        <f t="shared" ref="M169" si="189">COUNTIF(M162:M168, TRUE)</f>
        <v>0</v>
      </c>
      <c r="N169">
        <f t="shared" ref="N169" si="190">COUNTIF(N162:N168, TRUE)</f>
        <v>0</v>
      </c>
      <c r="O169">
        <f t="shared" ref="O169" si="191">COUNTIF(O162:O168, TRUE)</f>
        <v>0</v>
      </c>
      <c r="P169">
        <f t="shared" ref="P169" si="192">COUNTIF(P162:P168, TRUE)</f>
        <v>0</v>
      </c>
      <c r="Q169">
        <f t="shared" ref="Q169" si="193">COUNTIF(Q162:Q168, TRUE)</f>
        <v>0</v>
      </c>
      <c r="R169">
        <f t="shared" ref="R169" si="194">COUNTIF(R162:R168, TRUE)</f>
        <v>0</v>
      </c>
      <c r="S169">
        <f t="shared" ref="S169" si="195">COUNTIF(S162:S168, TRUE)</f>
        <v>0</v>
      </c>
      <c r="T169">
        <f t="shared" ref="T169" si="196">COUNTIF(T162:T168, TRUE)</f>
        <v>0</v>
      </c>
      <c r="U169">
        <f t="shared" ref="U169" si="197">COUNTIF(U162:U168, TRUE)</f>
        <v>0</v>
      </c>
      <c r="V169">
        <f t="shared" ref="V169" si="198">COUNTIF(V162:V168, TRUE)</f>
        <v>0</v>
      </c>
      <c r="W169">
        <f t="shared" ref="W169" si="199">COUNTIF(W162:W168, TRUE)</f>
        <v>0</v>
      </c>
      <c r="X169">
        <f t="shared" ref="X169" si="200">COUNTIF(X162:X168, TRUE)</f>
        <v>0</v>
      </c>
      <c r="Y169">
        <f t="shared" ref="Y169" si="201">COUNTIF(Y162:Y168, TRUE)</f>
        <v>0</v>
      </c>
      <c r="Z169">
        <f t="shared" ref="Z169" si="202">COUNTIF(Z162:Z168, TRUE)</f>
        <v>0</v>
      </c>
      <c r="AA169">
        <f t="shared" ref="AA169" si="203">COUNTIF(AA162:AA168, TRUE)</f>
        <v>0</v>
      </c>
      <c r="AB169">
        <f t="shared" ref="AB169" si="204">COUNTIF(AB162:AB168, TRUE)</f>
        <v>0</v>
      </c>
      <c r="AC169">
        <f t="shared" ref="AC169" si="205">COUNTIF(AC162:AC168, TRUE)</f>
        <v>0</v>
      </c>
      <c r="AD169">
        <f t="shared" ref="AD169" si="206">COUNTIF(AD162:AD168, TRUE)</f>
        <v>0</v>
      </c>
      <c r="AE169">
        <f t="shared" ref="AE169" si="207">COUNTIF(AE162:AE168, TRUE)</f>
        <v>0</v>
      </c>
      <c r="AF169">
        <f t="shared" ref="AF169" si="208">COUNTIF(AF162:AF168, TRUE)</f>
        <v>0</v>
      </c>
      <c r="AG169">
        <f t="shared" ref="AG169" si="209">COUNTIF(AG162:AG168, TRUE)</f>
        <v>0</v>
      </c>
      <c r="AH169">
        <f t="shared" ref="AH169" si="210">COUNTIF(AH162:AH168, TRUE)</f>
        <v>0</v>
      </c>
    </row>
    <row r="173" spans="3:38" ht="22.5" customHeight="1" x14ac:dyDescent="0.25">
      <c r="C173" s="357"/>
      <c r="D173" s="500" t="s">
        <v>52</v>
      </c>
      <c r="E173" s="500"/>
      <c r="F173" s="500"/>
      <c r="G173" s="500"/>
      <c r="H173" s="500"/>
      <c r="I173" s="500"/>
      <c r="J173" s="500"/>
      <c r="K173" s="358"/>
      <c r="L173" s="358"/>
      <c r="M173" s="358"/>
      <c r="N173" s="359" t="s">
        <v>21</v>
      </c>
      <c r="O173" s="358"/>
      <c r="P173" s="358"/>
      <c r="Q173" s="358"/>
      <c r="R173" s="358"/>
      <c r="S173" s="359" t="s">
        <v>23</v>
      </c>
      <c r="T173" s="358"/>
      <c r="U173" s="360"/>
      <c r="V173" s="358"/>
      <c r="W173" s="358"/>
      <c r="X173" s="359" t="s">
        <v>27</v>
      </c>
      <c r="Y173" s="358"/>
      <c r="Z173" s="358"/>
      <c r="AA173" s="358"/>
      <c r="AB173" s="359" t="s">
        <v>28</v>
      </c>
      <c r="AC173" s="358"/>
      <c r="AD173" s="358"/>
      <c r="AE173" s="358"/>
      <c r="AF173" s="358"/>
      <c r="AG173" s="358"/>
    </row>
    <row r="174" spans="3:38" ht="22.5" customHeight="1" x14ac:dyDescent="0.25">
      <c r="C174" s="361"/>
      <c r="D174" s="501"/>
      <c r="E174" s="501"/>
      <c r="F174" s="501"/>
      <c r="G174" s="501"/>
      <c r="H174" s="501"/>
      <c r="I174" s="501"/>
      <c r="J174" s="501"/>
      <c r="K174" s="362"/>
      <c r="L174" s="362"/>
      <c r="M174" s="362"/>
      <c r="N174" s="363">
        <f>COUNTA(C179:C185)</f>
        <v>7</v>
      </c>
      <c r="O174" s="362"/>
      <c r="P174" s="362"/>
      <c r="Q174" s="362"/>
      <c r="R174" s="362"/>
      <c r="S174" s="363">
        <f>COUNTIF(D179:AG185,TRUE)</f>
        <v>0</v>
      </c>
      <c r="T174" s="362"/>
      <c r="U174" s="364"/>
      <c r="V174" s="362"/>
      <c r="W174" s="502">
        <f>COUNTIF(D179:AG185, TRUE)/(COUNTA(D178:AG178)*COUNTA(C179:C185))</f>
        <v>0</v>
      </c>
      <c r="X174" s="502"/>
      <c r="Y174" s="502"/>
      <c r="Z174" s="362"/>
      <c r="AA174" s="362"/>
      <c r="AB174" s="365">
        <f>COUNTIF(D179:AG185, TRUE)/(COUNTA(D178:AG178)*COUNTA(C179:C185))</f>
        <v>0</v>
      </c>
      <c r="AC174" s="362"/>
      <c r="AD174" s="362"/>
      <c r="AE174" s="362"/>
      <c r="AF174" s="362"/>
      <c r="AG174" s="362"/>
    </row>
    <row r="176" spans="3:38" ht="22.5" customHeight="1" x14ac:dyDescent="0.25">
      <c r="C176" s="503" t="s">
        <v>1</v>
      </c>
      <c r="D176" s="454" t="s">
        <v>9</v>
      </c>
      <c r="E176" s="455"/>
      <c r="F176" s="455"/>
      <c r="G176" s="455"/>
      <c r="H176" s="455"/>
      <c r="I176" s="455"/>
      <c r="J176" s="456"/>
      <c r="K176" s="506" t="s">
        <v>10</v>
      </c>
      <c r="L176" s="507"/>
      <c r="M176" s="507"/>
      <c r="N176" s="507"/>
      <c r="O176" s="507"/>
      <c r="P176" s="507"/>
      <c r="Q176" s="508"/>
      <c r="R176" s="454" t="s">
        <v>11</v>
      </c>
      <c r="S176" s="455"/>
      <c r="T176" s="455"/>
      <c r="U176" s="455"/>
      <c r="V176" s="455"/>
      <c r="W176" s="455"/>
      <c r="X176" s="456"/>
      <c r="Y176" s="506" t="s">
        <v>12</v>
      </c>
      <c r="Z176" s="507"/>
      <c r="AA176" s="507"/>
      <c r="AB176" s="507"/>
      <c r="AC176" s="507"/>
      <c r="AD176" s="507"/>
      <c r="AE176" s="508"/>
      <c r="AF176" s="454" t="s">
        <v>13</v>
      </c>
      <c r="AG176" s="456"/>
      <c r="AI176" s="509" t="s">
        <v>24</v>
      </c>
      <c r="AJ176" s="510"/>
      <c r="AK176" s="511"/>
    </row>
    <row r="177" spans="3:37" ht="22.5" customHeight="1" x14ac:dyDescent="0.25">
      <c r="C177" s="504"/>
      <c r="D177" s="140" t="s">
        <v>3</v>
      </c>
      <c r="E177" s="140" t="s">
        <v>4</v>
      </c>
      <c r="F177" s="140" t="s">
        <v>5</v>
      </c>
      <c r="G177" s="140" t="s">
        <v>44</v>
      </c>
      <c r="H177" s="140" t="s">
        <v>7</v>
      </c>
      <c r="I177" s="140" t="s">
        <v>8</v>
      </c>
      <c r="J177" s="140" t="s">
        <v>2</v>
      </c>
      <c r="K177" s="369" t="s">
        <v>3</v>
      </c>
      <c r="L177" s="369" t="s">
        <v>4</v>
      </c>
      <c r="M177" s="369" t="s">
        <v>5</v>
      </c>
      <c r="N177" s="369" t="s">
        <v>44</v>
      </c>
      <c r="O177" s="369" t="s">
        <v>7</v>
      </c>
      <c r="P177" s="369" t="s">
        <v>8</v>
      </c>
      <c r="Q177" s="369" t="s">
        <v>2</v>
      </c>
      <c r="R177" s="140" t="s">
        <v>3</v>
      </c>
      <c r="S177" s="140" t="s">
        <v>4</v>
      </c>
      <c r="T177" s="140" t="s">
        <v>5</v>
      </c>
      <c r="U177" s="140" t="s">
        <v>44</v>
      </c>
      <c r="V177" s="140" t="s">
        <v>7</v>
      </c>
      <c r="W177" s="140" t="s">
        <v>8</v>
      </c>
      <c r="X177" s="140" t="s">
        <v>2</v>
      </c>
      <c r="Y177" s="369" t="s">
        <v>3</v>
      </c>
      <c r="Z177" s="369" t="s">
        <v>4</v>
      </c>
      <c r="AA177" s="369" t="s">
        <v>5</v>
      </c>
      <c r="AB177" s="369" t="s">
        <v>44</v>
      </c>
      <c r="AC177" s="369" t="s">
        <v>7</v>
      </c>
      <c r="AD177" s="369" t="s">
        <v>8</v>
      </c>
      <c r="AE177" s="369" t="s">
        <v>2</v>
      </c>
      <c r="AF177" s="140" t="s">
        <v>3</v>
      </c>
      <c r="AG177" s="140" t="s">
        <v>4</v>
      </c>
      <c r="AI177" s="512"/>
      <c r="AJ177" s="513"/>
      <c r="AK177" s="514"/>
    </row>
    <row r="178" spans="3:37" ht="22.5" customHeight="1" x14ac:dyDescent="0.25">
      <c r="C178" s="505"/>
      <c r="D178" s="140">
        <v>1</v>
      </c>
      <c r="E178" s="140">
        <v>2</v>
      </c>
      <c r="F178" s="140">
        <v>3</v>
      </c>
      <c r="G178" s="140">
        <v>4</v>
      </c>
      <c r="H178" s="140">
        <v>5</v>
      </c>
      <c r="I178" s="140">
        <v>6</v>
      </c>
      <c r="J178" s="140">
        <v>7</v>
      </c>
      <c r="K178" s="369">
        <v>8</v>
      </c>
      <c r="L178" s="369">
        <v>9</v>
      </c>
      <c r="M178" s="369">
        <v>10</v>
      </c>
      <c r="N178" s="369">
        <v>11</v>
      </c>
      <c r="O178" s="369">
        <v>12</v>
      </c>
      <c r="P178" s="369">
        <v>13</v>
      </c>
      <c r="Q178" s="369">
        <v>14</v>
      </c>
      <c r="R178" s="140">
        <v>15</v>
      </c>
      <c r="S178" s="140">
        <v>16</v>
      </c>
      <c r="T178" s="140">
        <v>17</v>
      </c>
      <c r="U178" s="140">
        <v>18</v>
      </c>
      <c r="V178" s="140">
        <v>19</v>
      </c>
      <c r="W178" s="140">
        <v>20</v>
      </c>
      <c r="X178" s="140">
        <v>21</v>
      </c>
      <c r="Y178" s="369">
        <v>22</v>
      </c>
      <c r="Z178" s="369">
        <v>23</v>
      </c>
      <c r="AA178" s="369">
        <v>24</v>
      </c>
      <c r="AB178" s="369">
        <v>25</v>
      </c>
      <c r="AC178" s="369">
        <v>26</v>
      </c>
      <c r="AD178" s="369">
        <v>27</v>
      </c>
      <c r="AE178" s="369">
        <v>28</v>
      </c>
      <c r="AF178" s="140">
        <v>29</v>
      </c>
      <c r="AG178" s="140">
        <v>30</v>
      </c>
      <c r="AI178" s="379" t="s">
        <v>25</v>
      </c>
      <c r="AJ178" s="379" t="s">
        <v>26</v>
      </c>
      <c r="AK178" s="379" t="s">
        <v>27</v>
      </c>
    </row>
    <row r="179" spans="3:37" ht="22.5" customHeight="1" x14ac:dyDescent="0.25">
      <c r="C179" s="366" t="s">
        <v>14</v>
      </c>
      <c r="D179" s="141" t="b">
        <v>0</v>
      </c>
      <c r="E179" s="142" t="b">
        <v>0</v>
      </c>
      <c r="F179" s="142" t="b">
        <v>0</v>
      </c>
      <c r="G179" s="142" t="b">
        <v>0</v>
      </c>
      <c r="H179" s="142" t="b">
        <v>0</v>
      </c>
      <c r="I179" s="142" t="b">
        <v>0</v>
      </c>
      <c r="J179" s="143" t="b">
        <v>0</v>
      </c>
      <c r="K179" s="370" t="b">
        <v>0</v>
      </c>
      <c r="L179" s="371" t="b">
        <v>0</v>
      </c>
      <c r="M179" s="371" t="b">
        <v>0</v>
      </c>
      <c r="N179" s="371" t="b">
        <v>0</v>
      </c>
      <c r="O179" s="371" t="b">
        <v>0</v>
      </c>
      <c r="P179" s="371" t="b">
        <v>0</v>
      </c>
      <c r="Q179" s="372" t="b">
        <v>0</v>
      </c>
      <c r="R179" s="141" t="b">
        <v>0</v>
      </c>
      <c r="S179" s="142" t="b">
        <v>0</v>
      </c>
      <c r="T179" s="142" t="b">
        <v>0</v>
      </c>
      <c r="U179" s="142" t="b">
        <v>0</v>
      </c>
      <c r="V179" s="142" t="b">
        <v>0</v>
      </c>
      <c r="W179" s="142" t="b">
        <v>0</v>
      </c>
      <c r="X179" s="143" t="b">
        <v>0</v>
      </c>
      <c r="Y179" s="370" t="b">
        <v>0</v>
      </c>
      <c r="Z179" s="371" t="b">
        <v>0</v>
      </c>
      <c r="AA179" s="371" t="b">
        <v>0</v>
      </c>
      <c r="AB179" s="371" t="b">
        <v>0</v>
      </c>
      <c r="AC179" s="371" t="b">
        <v>0</v>
      </c>
      <c r="AD179" s="371" t="b">
        <v>0</v>
      </c>
      <c r="AE179" s="372" t="b">
        <v>0</v>
      </c>
      <c r="AF179" s="141" t="b">
        <v>0</v>
      </c>
      <c r="AG179" s="143" t="b">
        <v>0</v>
      </c>
      <c r="AI179" s="23">
        <f>COUNTA(D179:AG179)</f>
        <v>30</v>
      </c>
      <c r="AJ179" s="23">
        <f t="shared" ref="AJ179:AJ185" si="211">COUNTIF(D179:AG179, TRUE)</f>
        <v>0</v>
      </c>
      <c r="AK179" s="24">
        <f>AJ179/AI179</f>
        <v>0</v>
      </c>
    </row>
    <row r="180" spans="3:37" ht="22.5" customHeight="1" x14ac:dyDescent="0.25">
      <c r="C180" s="367" t="s">
        <v>15</v>
      </c>
      <c r="D180" s="144" t="b">
        <v>0</v>
      </c>
      <c r="E180" s="145" t="b">
        <v>0</v>
      </c>
      <c r="F180" s="145" t="b">
        <v>0</v>
      </c>
      <c r="G180" s="145" t="b">
        <v>0</v>
      </c>
      <c r="H180" s="145" t="b">
        <v>0</v>
      </c>
      <c r="I180" s="145" t="b">
        <v>0</v>
      </c>
      <c r="J180" s="146" t="b">
        <v>0</v>
      </c>
      <c r="K180" s="373" t="b">
        <v>0</v>
      </c>
      <c r="L180" s="374" t="b">
        <v>0</v>
      </c>
      <c r="M180" s="374" t="b">
        <v>0</v>
      </c>
      <c r="N180" s="374" t="b">
        <v>0</v>
      </c>
      <c r="O180" s="374" t="b">
        <v>0</v>
      </c>
      <c r="P180" s="374" t="b">
        <v>0</v>
      </c>
      <c r="Q180" s="375" t="b">
        <v>0</v>
      </c>
      <c r="R180" s="144" t="b">
        <v>0</v>
      </c>
      <c r="S180" s="145" t="b">
        <v>0</v>
      </c>
      <c r="T180" s="145" t="b">
        <v>0</v>
      </c>
      <c r="U180" s="145" t="b">
        <v>0</v>
      </c>
      <c r="V180" s="145" t="b">
        <v>0</v>
      </c>
      <c r="W180" s="145" t="b">
        <v>0</v>
      </c>
      <c r="X180" s="146" t="b">
        <v>0</v>
      </c>
      <c r="Y180" s="373" t="b">
        <v>0</v>
      </c>
      <c r="Z180" s="374" t="b">
        <v>0</v>
      </c>
      <c r="AA180" s="374" t="b">
        <v>0</v>
      </c>
      <c r="AB180" s="374" t="b">
        <v>0</v>
      </c>
      <c r="AC180" s="374" t="b">
        <v>0</v>
      </c>
      <c r="AD180" s="374" t="b">
        <v>0</v>
      </c>
      <c r="AE180" s="375" t="b">
        <v>0</v>
      </c>
      <c r="AF180" s="144" t="b">
        <v>0</v>
      </c>
      <c r="AG180" s="146" t="b">
        <v>0</v>
      </c>
      <c r="AI180" s="23">
        <f>COUNTA(D180:AG180)</f>
        <v>30</v>
      </c>
      <c r="AJ180" s="23">
        <f t="shared" si="211"/>
        <v>0</v>
      </c>
      <c r="AK180" s="24">
        <f t="shared" ref="AK180:AK185" si="212">AJ180/AI180</f>
        <v>0</v>
      </c>
    </row>
    <row r="181" spans="3:37" ht="22.5" customHeight="1" x14ac:dyDescent="0.25">
      <c r="C181" s="367" t="s">
        <v>16</v>
      </c>
      <c r="D181" s="144" t="b">
        <v>0</v>
      </c>
      <c r="E181" s="145" t="b">
        <v>0</v>
      </c>
      <c r="F181" s="145" t="b">
        <v>0</v>
      </c>
      <c r="G181" s="145" t="b">
        <v>0</v>
      </c>
      <c r="H181" s="145" t="b">
        <v>0</v>
      </c>
      <c r="I181" s="145" t="b">
        <v>0</v>
      </c>
      <c r="J181" s="146" t="b">
        <v>0</v>
      </c>
      <c r="K181" s="373" t="b">
        <v>0</v>
      </c>
      <c r="L181" s="374" t="b">
        <v>0</v>
      </c>
      <c r="M181" s="374" t="b">
        <v>0</v>
      </c>
      <c r="N181" s="374" t="b">
        <v>0</v>
      </c>
      <c r="O181" s="374" t="b">
        <v>0</v>
      </c>
      <c r="P181" s="374" t="b">
        <v>0</v>
      </c>
      <c r="Q181" s="375" t="b">
        <v>0</v>
      </c>
      <c r="R181" s="144" t="b">
        <v>0</v>
      </c>
      <c r="S181" s="145" t="b">
        <v>0</v>
      </c>
      <c r="T181" s="145" t="b">
        <v>0</v>
      </c>
      <c r="U181" s="145" t="b">
        <v>0</v>
      </c>
      <c r="V181" s="145" t="b">
        <v>0</v>
      </c>
      <c r="W181" s="145" t="b">
        <v>0</v>
      </c>
      <c r="X181" s="146" t="b">
        <v>0</v>
      </c>
      <c r="Y181" s="373" t="b">
        <v>0</v>
      </c>
      <c r="Z181" s="374" t="b">
        <v>0</v>
      </c>
      <c r="AA181" s="374" t="b">
        <v>0</v>
      </c>
      <c r="AB181" s="374" t="b">
        <v>0</v>
      </c>
      <c r="AC181" s="374" t="b">
        <v>0</v>
      </c>
      <c r="AD181" s="374" t="b">
        <v>0</v>
      </c>
      <c r="AE181" s="375" t="b">
        <v>0</v>
      </c>
      <c r="AF181" s="144" t="b">
        <v>0</v>
      </c>
      <c r="AG181" s="146" t="b">
        <v>0</v>
      </c>
      <c r="AI181" s="23">
        <f t="shared" ref="AI181:AI185" si="213">COUNTA(D181:AG181)</f>
        <v>30</v>
      </c>
      <c r="AJ181" s="23">
        <f t="shared" si="211"/>
        <v>0</v>
      </c>
      <c r="AK181" s="24">
        <f t="shared" si="212"/>
        <v>0</v>
      </c>
    </row>
    <row r="182" spans="3:37" ht="22.5" customHeight="1" x14ac:dyDescent="0.25">
      <c r="C182" s="367" t="s">
        <v>17</v>
      </c>
      <c r="D182" s="144" t="b">
        <v>0</v>
      </c>
      <c r="E182" s="145" t="b">
        <v>0</v>
      </c>
      <c r="F182" s="145" t="b">
        <v>0</v>
      </c>
      <c r="G182" s="145" t="b">
        <v>0</v>
      </c>
      <c r="H182" s="145" t="b">
        <v>0</v>
      </c>
      <c r="I182" s="145" t="b">
        <v>0</v>
      </c>
      <c r="J182" s="146" t="b">
        <v>0</v>
      </c>
      <c r="K182" s="373" t="b">
        <v>0</v>
      </c>
      <c r="L182" s="374" t="b">
        <v>0</v>
      </c>
      <c r="M182" s="374" t="b">
        <v>0</v>
      </c>
      <c r="N182" s="374" t="b">
        <v>0</v>
      </c>
      <c r="O182" s="374" t="b">
        <v>0</v>
      </c>
      <c r="P182" s="374" t="b">
        <v>0</v>
      </c>
      <c r="Q182" s="375" t="b">
        <v>0</v>
      </c>
      <c r="R182" s="144" t="b">
        <v>0</v>
      </c>
      <c r="S182" s="145" t="b">
        <v>0</v>
      </c>
      <c r="T182" s="145" t="b">
        <v>0</v>
      </c>
      <c r="U182" s="145" t="b">
        <v>0</v>
      </c>
      <c r="V182" s="145" t="b">
        <v>0</v>
      </c>
      <c r="W182" s="145" t="b">
        <v>0</v>
      </c>
      <c r="X182" s="146" t="b">
        <v>0</v>
      </c>
      <c r="Y182" s="373" t="b">
        <v>0</v>
      </c>
      <c r="Z182" s="374" t="b">
        <v>0</v>
      </c>
      <c r="AA182" s="374" t="b">
        <v>0</v>
      </c>
      <c r="AB182" s="374" t="b">
        <v>0</v>
      </c>
      <c r="AC182" s="374" t="b">
        <v>0</v>
      </c>
      <c r="AD182" s="374" t="b">
        <v>0</v>
      </c>
      <c r="AE182" s="375" t="b">
        <v>0</v>
      </c>
      <c r="AF182" s="144" t="b">
        <v>0</v>
      </c>
      <c r="AG182" s="146" t="b">
        <v>0</v>
      </c>
      <c r="AI182" s="23">
        <f t="shared" si="213"/>
        <v>30</v>
      </c>
      <c r="AJ182" s="23">
        <f t="shared" si="211"/>
        <v>0</v>
      </c>
      <c r="AK182" s="24">
        <f t="shared" si="212"/>
        <v>0</v>
      </c>
    </row>
    <row r="183" spans="3:37" ht="22.5" customHeight="1" x14ac:dyDescent="0.25">
      <c r="C183" s="367" t="s">
        <v>19</v>
      </c>
      <c r="D183" s="144" t="b">
        <v>0</v>
      </c>
      <c r="E183" s="145" t="b">
        <v>0</v>
      </c>
      <c r="F183" s="145" t="b">
        <v>0</v>
      </c>
      <c r="G183" s="145" t="b">
        <v>0</v>
      </c>
      <c r="H183" s="145" t="b">
        <v>0</v>
      </c>
      <c r="I183" s="145" t="b">
        <v>0</v>
      </c>
      <c r="J183" s="146" t="b">
        <v>0</v>
      </c>
      <c r="K183" s="373" t="b">
        <v>0</v>
      </c>
      <c r="L183" s="374" t="b">
        <v>0</v>
      </c>
      <c r="M183" s="374" t="b">
        <v>0</v>
      </c>
      <c r="N183" s="374" t="b">
        <v>0</v>
      </c>
      <c r="O183" s="374" t="b">
        <v>0</v>
      </c>
      <c r="P183" s="374" t="b">
        <v>0</v>
      </c>
      <c r="Q183" s="375" t="b">
        <v>0</v>
      </c>
      <c r="R183" s="144" t="b">
        <v>0</v>
      </c>
      <c r="S183" s="145" t="b">
        <v>0</v>
      </c>
      <c r="T183" s="145" t="b">
        <v>0</v>
      </c>
      <c r="U183" s="145" t="b">
        <v>0</v>
      </c>
      <c r="V183" s="145" t="b">
        <v>0</v>
      </c>
      <c r="W183" s="145" t="b">
        <v>0</v>
      </c>
      <c r="X183" s="146" t="b">
        <v>0</v>
      </c>
      <c r="Y183" s="373" t="b">
        <v>0</v>
      </c>
      <c r="Z183" s="374" t="b">
        <v>0</v>
      </c>
      <c r="AA183" s="374" t="b">
        <v>0</v>
      </c>
      <c r="AB183" s="374" t="b">
        <v>0</v>
      </c>
      <c r="AC183" s="374" t="b">
        <v>0</v>
      </c>
      <c r="AD183" s="374" t="b">
        <v>0</v>
      </c>
      <c r="AE183" s="375" t="b">
        <v>0</v>
      </c>
      <c r="AF183" s="144" t="b">
        <v>0</v>
      </c>
      <c r="AG183" s="146" t="b">
        <v>0</v>
      </c>
      <c r="AI183" s="23">
        <f t="shared" si="213"/>
        <v>30</v>
      </c>
      <c r="AJ183" s="23">
        <f t="shared" si="211"/>
        <v>0</v>
      </c>
      <c r="AK183" s="24">
        <f t="shared" si="212"/>
        <v>0</v>
      </c>
    </row>
    <row r="184" spans="3:37" ht="22.5" customHeight="1" x14ac:dyDescent="0.25">
      <c r="C184" s="367" t="s">
        <v>20</v>
      </c>
      <c r="D184" s="144" t="b">
        <v>0</v>
      </c>
      <c r="E184" s="145" t="b">
        <v>0</v>
      </c>
      <c r="F184" s="145" t="b">
        <v>0</v>
      </c>
      <c r="G184" s="145" t="b">
        <v>0</v>
      </c>
      <c r="H184" s="145" t="b">
        <v>0</v>
      </c>
      <c r="I184" s="145" t="b">
        <v>0</v>
      </c>
      <c r="J184" s="146" t="b">
        <v>0</v>
      </c>
      <c r="K184" s="373" t="b">
        <v>0</v>
      </c>
      <c r="L184" s="374" t="b">
        <v>0</v>
      </c>
      <c r="M184" s="374" t="b">
        <v>0</v>
      </c>
      <c r="N184" s="374" t="b">
        <v>0</v>
      </c>
      <c r="O184" s="374" t="b">
        <v>0</v>
      </c>
      <c r="P184" s="374" t="b">
        <v>0</v>
      </c>
      <c r="Q184" s="375" t="b">
        <v>0</v>
      </c>
      <c r="R184" s="144" t="b">
        <v>0</v>
      </c>
      <c r="S184" s="145" t="b">
        <v>0</v>
      </c>
      <c r="T184" s="145" t="b">
        <v>0</v>
      </c>
      <c r="U184" s="145" t="b">
        <v>0</v>
      </c>
      <c r="V184" s="145" t="b">
        <v>0</v>
      </c>
      <c r="W184" s="145" t="b">
        <v>0</v>
      </c>
      <c r="X184" s="146" t="b">
        <v>0</v>
      </c>
      <c r="Y184" s="373" t="b">
        <v>0</v>
      </c>
      <c r="Z184" s="374" t="b">
        <v>0</v>
      </c>
      <c r="AA184" s="374" t="b">
        <v>0</v>
      </c>
      <c r="AB184" s="374" t="b">
        <v>0</v>
      </c>
      <c r="AC184" s="374" t="b">
        <v>0</v>
      </c>
      <c r="AD184" s="374" t="b">
        <v>0</v>
      </c>
      <c r="AE184" s="375" t="b">
        <v>0</v>
      </c>
      <c r="AF184" s="144" t="b">
        <v>0</v>
      </c>
      <c r="AG184" s="146" t="b">
        <v>0</v>
      </c>
      <c r="AI184" s="23">
        <f t="shared" si="213"/>
        <v>30</v>
      </c>
      <c r="AJ184" s="23">
        <f t="shared" si="211"/>
        <v>0</v>
      </c>
      <c r="AK184" s="24">
        <f t="shared" si="212"/>
        <v>0</v>
      </c>
    </row>
    <row r="185" spans="3:37" ht="22.5" customHeight="1" x14ac:dyDescent="0.25">
      <c r="C185" s="368" t="s">
        <v>18</v>
      </c>
      <c r="D185" s="147" t="b">
        <v>0</v>
      </c>
      <c r="E185" s="148" t="b">
        <v>0</v>
      </c>
      <c r="F185" s="148" t="b">
        <v>0</v>
      </c>
      <c r="G185" s="148" t="b">
        <v>0</v>
      </c>
      <c r="H185" s="148" t="b">
        <v>0</v>
      </c>
      <c r="I185" s="148" t="b">
        <v>0</v>
      </c>
      <c r="J185" s="149" t="b">
        <v>0</v>
      </c>
      <c r="K185" s="376" t="b">
        <v>0</v>
      </c>
      <c r="L185" s="377" t="b">
        <v>0</v>
      </c>
      <c r="M185" s="377" t="b">
        <v>0</v>
      </c>
      <c r="N185" s="377" t="b">
        <v>0</v>
      </c>
      <c r="O185" s="377" t="b">
        <v>0</v>
      </c>
      <c r="P185" s="377" t="b">
        <v>0</v>
      </c>
      <c r="Q185" s="378" t="b">
        <v>0</v>
      </c>
      <c r="R185" s="147" t="b">
        <v>0</v>
      </c>
      <c r="S185" s="148" t="b">
        <v>0</v>
      </c>
      <c r="T185" s="148" t="b">
        <v>0</v>
      </c>
      <c r="U185" s="148" t="b">
        <v>0</v>
      </c>
      <c r="V185" s="148" t="b">
        <v>0</v>
      </c>
      <c r="W185" s="148" t="b">
        <v>0</v>
      </c>
      <c r="X185" s="149" t="b">
        <v>0</v>
      </c>
      <c r="Y185" s="376" t="b">
        <v>0</v>
      </c>
      <c r="Z185" s="377" t="b">
        <v>0</v>
      </c>
      <c r="AA185" s="377" t="b">
        <v>0</v>
      </c>
      <c r="AB185" s="377" t="b">
        <v>0</v>
      </c>
      <c r="AC185" s="377" t="b">
        <v>0</v>
      </c>
      <c r="AD185" s="377" t="b">
        <v>0</v>
      </c>
      <c r="AE185" s="378" t="b">
        <v>0</v>
      </c>
      <c r="AF185" s="147" t="b">
        <v>0</v>
      </c>
      <c r="AG185" s="149" t="b">
        <v>0</v>
      </c>
      <c r="AI185" s="23">
        <f t="shared" si="213"/>
        <v>30</v>
      </c>
      <c r="AJ185" s="23">
        <f t="shared" si="211"/>
        <v>0</v>
      </c>
      <c r="AK185" s="24">
        <f t="shared" si="212"/>
        <v>0</v>
      </c>
    </row>
    <row r="186" spans="3:37" ht="22.5" customHeight="1" x14ac:dyDescent="0.25">
      <c r="D186">
        <f>COUNTIF(D179:D185, TRUE)</f>
        <v>0</v>
      </c>
      <c r="E186">
        <f t="shared" ref="E186" si="214">COUNTIF(E179:E185, TRUE)</f>
        <v>0</v>
      </c>
      <c r="F186">
        <f t="shared" ref="F186" si="215">COUNTIF(F179:F185, TRUE)</f>
        <v>0</v>
      </c>
      <c r="G186">
        <f t="shared" ref="G186" si="216">COUNTIF(G179:G185, TRUE)</f>
        <v>0</v>
      </c>
      <c r="H186">
        <f t="shared" ref="H186" si="217">COUNTIF(H179:H185, TRUE)</f>
        <v>0</v>
      </c>
      <c r="I186">
        <f t="shared" ref="I186" si="218">COUNTIF(I179:I185, TRUE)</f>
        <v>0</v>
      </c>
      <c r="J186">
        <f t="shared" ref="J186" si="219">COUNTIF(J179:J185, TRUE)</f>
        <v>0</v>
      </c>
      <c r="K186">
        <f t="shared" ref="K186" si="220">COUNTIF(K179:K185, TRUE)</f>
        <v>0</v>
      </c>
      <c r="L186">
        <f t="shared" ref="L186" si="221">COUNTIF(L179:L185, TRUE)</f>
        <v>0</v>
      </c>
      <c r="M186">
        <f t="shared" ref="M186" si="222">COUNTIF(M179:M185, TRUE)</f>
        <v>0</v>
      </c>
      <c r="N186">
        <f t="shared" ref="N186" si="223">COUNTIF(N179:N185, TRUE)</f>
        <v>0</v>
      </c>
      <c r="O186">
        <f t="shared" ref="O186" si="224">COUNTIF(O179:O185, TRUE)</f>
        <v>0</v>
      </c>
      <c r="P186">
        <f t="shared" ref="P186" si="225">COUNTIF(P179:P185, TRUE)</f>
        <v>0</v>
      </c>
      <c r="Q186">
        <f t="shared" ref="Q186" si="226">COUNTIF(Q179:Q185, TRUE)</f>
        <v>0</v>
      </c>
      <c r="R186">
        <f t="shared" ref="R186" si="227">COUNTIF(R179:R185, TRUE)</f>
        <v>0</v>
      </c>
      <c r="S186">
        <f t="shared" ref="S186" si="228">COUNTIF(S179:S185, TRUE)</f>
        <v>0</v>
      </c>
      <c r="T186">
        <f t="shared" ref="T186" si="229">COUNTIF(T179:T185, TRUE)</f>
        <v>0</v>
      </c>
      <c r="U186">
        <f t="shared" ref="U186" si="230">COUNTIF(U179:U185, TRUE)</f>
        <v>0</v>
      </c>
      <c r="V186">
        <f t="shared" ref="V186" si="231">COUNTIF(V179:V185, TRUE)</f>
        <v>0</v>
      </c>
      <c r="W186">
        <f t="shared" ref="W186" si="232">COUNTIF(W179:W185, TRUE)</f>
        <v>0</v>
      </c>
      <c r="X186">
        <f t="shared" ref="X186" si="233">COUNTIF(X179:X185, TRUE)</f>
        <v>0</v>
      </c>
      <c r="Y186">
        <f t="shared" ref="Y186" si="234">COUNTIF(Y179:Y185, TRUE)</f>
        <v>0</v>
      </c>
      <c r="Z186">
        <f t="shared" ref="Z186" si="235">COUNTIF(Z179:Z185, TRUE)</f>
        <v>0</v>
      </c>
      <c r="AA186">
        <f t="shared" ref="AA186" si="236">COUNTIF(AA179:AA185, TRUE)</f>
        <v>0</v>
      </c>
      <c r="AB186">
        <f t="shared" ref="AB186" si="237">COUNTIF(AB179:AB185, TRUE)</f>
        <v>0</v>
      </c>
      <c r="AC186">
        <f t="shared" ref="AC186" si="238">COUNTIF(AC179:AC185, TRUE)</f>
        <v>0</v>
      </c>
      <c r="AD186">
        <f t="shared" ref="AD186" si="239">COUNTIF(AD179:AD185, TRUE)</f>
        <v>0</v>
      </c>
      <c r="AE186">
        <f t="shared" ref="AE186" si="240">COUNTIF(AE179:AE185, TRUE)</f>
        <v>0</v>
      </c>
      <c r="AF186">
        <f t="shared" ref="AF186" si="241">COUNTIF(AF179:AF185, TRUE)</f>
        <v>0</v>
      </c>
      <c r="AG186">
        <f t="shared" ref="AG186" si="242">COUNTIF(AG179:AG185, TRUE)</f>
        <v>0</v>
      </c>
    </row>
    <row r="190" spans="3:37" ht="22.5" customHeight="1" x14ac:dyDescent="0.25">
      <c r="C190" s="380"/>
      <c r="D190" s="485" t="s">
        <v>53</v>
      </c>
      <c r="E190" s="485"/>
      <c r="F190" s="485"/>
      <c r="G190" s="485"/>
      <c r="H190" s="485"/>
      <c r="I190" s="485"/>
      <c r="J190" s="485"/>
      <c r="K190" s="381"/>
      <c r="L190" s="381"/>
      <c r="M190" s="381"/>
      <c r="N190" s="382" t="s">
        <v>21</v>
      </c>
      <c r="O190" s="381"/>
      <c r="P190" s="381"/>
      <c r="Q190" s="381"/>
      <c r="R190" s="381"/>
      <c r="S190" s="382" t="s">
        <v>23</v>
      </c>
      <c r="T190" s="381"/>
      <c r="U190" s="383"/>
      <c r="V190" s="381"/>
      <c r="W190" s="381"/>
      <c r="X190" s="382" t="s">
        <v>27</v>
      </c>
      <c r="Y190" s="381"/>
      <c r="Z190" s="381"/>
      <c r="AA190" s="381"/>
      <c r="AB190" s="382" t="s">
        <v>28</v>
      </c>
      <c r="AC190" s="381"/>
      <c r="AD190" s="381"/>
      <c r="AE190" s="381"/>
      <c r="AF190" s="381"/>
      <c r="AG190" s="381"/>
      <c r="AH190" s="384"/>
    </row>
    <row r="191" spans="3:37" ht="22.5" customHeight="1" x14ac:dyDescent="0.25">
      <c r="C191" s="385"/>
      <c r="D191" s="486"/>
      <c r="E191" s="486"/>
      <c r="F191" s="486"/>
      <c r="G191" s="486"/>
      <c r="H191" s="486"/>
      <c r="I191" s="486"/>
      <c r="J191" s="486"/>
      <c r="K191" s="386"/>
      <c r="L191" s="386"/>
      <c r="M191" s="386"/>
      <c r="N191" s="387">
        <f>COUNTA(C196:C202)</f>
        <v>7</v>
      </c>
      <c r="O191" s="386"/>
      <c r="P191" s="386"/>
      <c r="Q191" s="386"/>
      <c r="R191" s="386"/>
      <c r="S191" s="387">
        <f>COUNTIF(D196:AG202,TRUE)</f>
        <v>0</v>
      </c>
      <c r="T191" s="386"/>
      <c r="U191" s="388"/>
      <c r="V191" s="386"/>
      <c r="W191" s="487">
        <f>COUNTIF(D196:AH202, TRUE)/(COUNTA(D195:AH195)*COUNTA(C196:C202))</f>
        <v>0</v>
      </c>
      <c r="X191" s="487"/>
      <c r="Y191" s="487"/>
      <c r="Z191" s="386"/>
      <c r="AA191" s="386"/>
      <c r="AB191" s="389">
        <f>COUNTIF(D196:AH202, TRUE)/(COUNTA(D195:AH195)*COUNTA(C196:C202))</f>
        <v>0</v>
      </c>
      <c r="AC191" s="386"/>
      <c r="AD191" s="386"/>
      <c r="AE191" s="386"/>
      <c r="AF191" s="386"/>
      <c r="AG191" s="386"/>
      <c r="AH191" s="390"/>
    </row>
    <row r="193" spans="3:38" ht="22.5" customHeight="1" x14ac:dyDescent="0.25">
      <c r="C193" s="488" t="s">
        <v>1</v>
      </c>
      <c r="D193" s="476" t="s">
        <v>9</v>
      </c>
      <c r="E193" s="477"/>
      <c r="F193" s="477"/>
      <c r="G193" s="477"/>
      <c r="H193" s="477"/>
      <c r="I193" s="477"/>
      <c r="J193" s="478"/>
      <c r="K193" s="491" t="s">
        <v>10</v>
      </c>
      <c r="L193" s="492"/>
      <c r="M193" s="492"/>
      <c r="N193" s="492"/>
      <c r="O193" s="492"/>
      <c r="P193" s="492"/>
      <c r="Q193" s="493"/>
      <c r="R193" s="476" t="s">
        <v>11</v>
      </c>
      <c r="S193" s="477"/>
      <c r="T193" s="477"/>
      <c r="U193" s="477"/>
      <c r="V193" s="477"/>
      <c r="W193" s="477"/>
      <c r="X193" s="478"/>
      <c r="Y193" s="491" t="s">
        <v>12</v>
      </c>
      <c r="Z193" s="492"/>
      <c r="AA193" s="492"/>
      <c r="AB193" s="492"/>
      <c r="AC193" s="492"/>
      <c r="AD193" s="492"/>
      <c r="AE193" s="493"/>
      <c r="AF193" s="476" t="s">
        <v>13</v>
      </c>
      <c r="AG193" s="477"/>
      <c r="AH193" s="478"/>
      <c r="AJ193" s="479" t="s">
        <v>24</v>
      </c>
      <c r="AK193" s="480"/>
      <c r="AL193" s="481"/>
    </row>
    <row r="194" spans="3:38" ht="22.5" customHeight="1" x14ac:dyDescent="0.25">
      <c r="C194" s="489"/>
      <c r="D194" s="391" t="s">
        <v>7</v>
      </c>
      <c r="E194" s="391" t="s">
        <v>8</v>
      </c>
      <c r="F194" s="391" t="s">
        <v>2</v>
      </c>
      <c r="G194" s="391" t="s">
        <v>3</v>
      </c>
      <c r="H194" s="391" t="s">
        <v>4</v>
      </c>
      <c r="I194" s="391" t="s">
        <v>5</v>
      </c>
      <c r="J194" s="391" t="s">
        <v>44</v>
      </c>
      <c r="K194" s="404" t="s">
        <v>7</v>
      </c>
      <c r="L194" s="404" t="s">
        <v>8</v>
      </c>
      <c r="M194" s="404" t="s">
        <v>2</v>
      </c>
      <c r="N194" s="404" t="s">
        <v>3</v>
      </c>
      <c r="O194" s="404" t="s">
        <v>4</v>
      </c>
      <c r="P194" s="404" t="s">
        <v>5</v>
      </c>
      <c r="Q194" s="404" t="s">
        <v>44</v>
      </c>
      <c r="R194" s="391" t="s">
        <v>7</v>
      </c>
      <c r="S194" s="391" t="s">
        <v>8</v>
      </c>
      <c r="T194" s="391" t="s">
        <v>2</v>
      </c>
      <c r="U194" s="391" t="s">
        <v>3</v>
      </c>
      <c r="V194" s="391" t="s">
        <v>4</v>
      </c>
      <c r="W194" s="391" t="s">
        <v>5</v>
      </c>
      <c r="X194" s="391" t="s">
        <v>44</v>
      </c>
      <c r="Y194" s="404" t="s">
        <v>7</v>
      </c>
      <c r="Z194" s="404" t="s">
        <v>8</v>
      </c>
      <c r="AA194" s="404" t="s">
        <v>2</v>
      </c>
      <c r="AB194" s="404" t="s">
        <v>3</v>
      </c>
      <c r="AC194" s="404" t="s">
        <v>4</v>
      </c>
      <c r="AD194" s="404" t="s">
        <v>5</v>
      </c>
      <c r="AE194" s="404" t="s">
        <v>44</v>
      </c>
      <c r="AF194" s="391" t="s">
        <v>7</v>
      </c>
      <c r="AG194" s="391" t="s">
        <v>8</v>
      </c>
      <c r="AH194" s="391" t="s">
        <v>2</v>
      </c>
      <c r="AJ194" s="482"/>
      <c r="AK194" s="483"/>
      <c r="AL194" s="484"/>
    </row>
    <row r="195" spans="3:38" ht="22.5" customHeight="1" x14ac:dyDescent="0.25">
      <c r="C195" s="490"/>
      <c r="D195" s="391">
        <v>1</v>
      </c>
      <c r="E195" s="391">
        <v>2</v>
      </c>
      <c r="F195" s="391">
        <v>3</v>
      </c>
      <c r="G195" s="391">
        <v>4</v>
      </c>
      <c r="H195" s="391">
        <v>5</v>
      </c>
      <c r="I195" s="391">
        <v>6</v>
      </c>
      <c r="J195" s="391">
        <v>7</v>
      </c>
      <c r="K195" s="404">
        <v>8</v>
      </c>
      <c r="L195" s="404">
        <v>9</v>
      </c>
      <c r="M195" s="404">
        <v>10</v>
      </c>
      <c r="N195" s="404">
        <v>11</v>
      </c>
      <c r="O195" s="404">
        <v>12</v>
      </c>
      <c r="P195" s="404">
        <v>13</v>
      </c>
      <c r="Q195" s="404">
        <v>14</v>
      </c>
      <c r="R195" s="391">
        <v>15</v>
      </c>
      <c r="S195" s="391">
        <v>16</v>
      </c>
      <c r="T195" s="391">
        <v>17</v>
      </c>
      <c r="U195" s="391">
        <v>18</v>
      </c>
      <c r="V195" s="391">
        <v>19</v>
      </c>
      <c r="W195" s="391">
        <v>20</v>
      </c>
      <c r="X195" s="391">
        <v>21</v>
      </c>
      <c r="Y195" s="404">
        <v>22</v>
      </c>
      <c r="Z195" s="404">
        <v>23</v>
      </c>
      <c r="AA195" s="404">
        <v>24</v>
      </c>
      <c r="AB195" s="404">
        <v>25</v>
      </c>
      <c r="AC195" s="404">
        <v>26</v>
      </c>
      <c r="AD195" s="404">
        <v>27</v>
      </c>
      <c r="AE195" s="404">
        <v>28</v>
      </c>
      <c r="AF195" s="391">
        <v>29</v>
      </c>
      <c r="AG195" s="391">
        <v>30</v>
      </c>
      <c r="AH195" s="391">
        <v>31</v>
      </c>
      <c r="AJ195" s="414" t="s">
        <v>25</v>
      </c>
      <c r="AK195" s="414" t="s">
        <v>26</v>
      </c>
      <c r="AL195" s="414" t="s">
        <v>27</v>
      </c>
    </row>
    <row r="196" spans="3:38" ht="22.5" customHeight="1" x14ac:dyDescent="0.25">
      <c r="C196" s="401" t="s">
        <v>14</v>
      </c>
      <c r="D196" s="392" t="b">
        <v>0</v>
      </c>
      <c r="E196" s="393" t="b">
        <v>0</v>
      </c>
      <c r="F196" s="393" t="b">
        <v>0</v>
      </c>
      <c r="G196" s="393" t="b">
        <v>0</v>
      </c>
      <c r="H196" s="393" t="b">
        <v>0</v>
      </c>
      <c r="I196" s="393" t="b">
        <v>0</v>
      </c>
      <c r="J196" s="394" t="b">
        <v>0</v>
      </c>
      <c r="K196" s="405" t="b">
        <v>0</v>
      </c>
      <c r="L196" s="406" t="b">
        <v>0</v>
      </c>
      <c r="M196" s="406" t="b">
        <v>0</v>
      </c>
      <c r="N196" s="406" t="b">
        <v>0</v>
      </c>
      <c r="O196" s="406" t="b">
        <v>0</v>
      </c>
      <c r="P196" s="406" t="b">
        <v>0</v>
      </c>
      <c r="Q196" s="407" t="b">
        <v>0</v>
      </c>
      <c r="R196" s="392" t="b">
        <v>0</v>
      </c>
      <c r="S196" s="393" t="b">
        <v>0</v>
      </c>
      <c r="T196" s="393" t="b">
        <v>0</v>
      </c>
      <c r="U196" s="393" t="b">
        <v>0</v>
      </c>
      <c r="V196" s="393" t="b">
        <v>0</v>
      </c>
      <c r="W196" s="393" t="b">
        <v>0</v>
      </c>
      <c r="X196" s="394" t="b">
        <v>0</v>
      </c>
      <c r="Y196" s="405" t="b">
        <v>0</v>
      </c>
      <c r="Z196" s="406" t="b">
        <v>0</v>
      </c>
      <c r="AA196" s="406" t="b">
        <v>0</v>
      </c>
      <c r="AB196" s="406" t="b">
        <v>0</v>
      </c>
      <c r="AC196" s="406" t="b">
        <v>0</v>
      </c>
      <c r="AD196" s="406" t="b">
        <v>0</v>
      </c>
      <c r="AE196" s="407" t="b">
        <v>0</v>
      </c>
      <c r="AF196" s="392" t="b">
        <v>0</v>
      </c>
      <c r="AG196" s="393" t="b">
        <v>0</v>
      </c>
      <c r="AH196" s="393" t="b">
        <v>0</v>
      </c>
      <c r="AJ196" s="23">
        <f>COUNTA(D196:AH196)</f>
        <v>31</v>
      </c>
      <c r="AK196" s="23">
        <f t="shared" ref="AK196:AK202" si="243">COUNTIF(D196:AG196, TRUE)</f>
        <v>0</v>
      </c>
      <c r="AL196" s="24">
        <f>AK196/AJ196</f>
        <v>0</v>
      </c>
    </row>
    <row r="197" spans="3:38" ht="22.5" customHeight="1" x14ac:dyDescent="0.25">
      <c r="C197" s="402" t="s">
        <v>15</v>
      </c>
      <c r="D197" s="395" t="b">
        <v>0</v>
      </c>
      <c r="E197" s="396" t="b">
        <v>0</v>
      </c>
      <c r="F197" s="396" t="b">
        <v>0</v>
      </c>
      <c r="G197" s="396" t="b">
        <v>0</v>
      </c>
      <c r="H197" s="396" t="b">
        <v>0</v>
      </c>
      <c r="I197" s="396" t="b">
        <v>0</v>
      </c>
      <c r="J197" s="397" t="b">
        <v>0</v>
      </c>
      <c r="K197" s="408" t="b">
        <v>0</v>
      </c>
      <c r="L197" s="409" t="b">
        <v>0</v>
      </c>
      <c r="M197" s="409" t="b">
        <v>0</v>
      </c>
      <c r="N197" s="409" t="b">
        <v>0</v>
      </c>
      <c r="O197" s="409" t="b">
        <v>0</v>
      </c>
      <c r="P197" s="409" t="b">
        <v>0</v>
      </c>
      <c r="Q197" s="410" t="b">
        <v>0</v>
      </c>
      <c r="R197" s="395" t="b">
        <v>0</v>
      </c>
      <c r="S197" s="396" t="b">
        <v>0</v>
      </c>
      <c r="T197" s="396" t="b">
        <v>0</v>
      </c>
      <c r="U197" s="396" t="b">
        <v>0</v>
      </c>
      <c r="V197" s="396" t="b">
        <v>0</v>
      </c>
      <c r="W197" s="396" t="b">
        <v>0</v>
      </c>
      <c r="X197" s="397" t="b">
        <v>0</v>
      </c>
      <c r="Y197" s="408" t="b">
        <v>0</v>
      </c>
      <c r="Z197" s="409" t="b">
        <v>0</v>
      </c>
      <c r="AA197" s="409" t="b">
        <v>0</v>
      </c>
      <c r="AB197" s="409" t="b">
        <v>0</v>
      </c>
      <c r="AC197" s="409" t="b">
        <v>0</v>
      </c>
      <c r="AD197" s="409" t="b">
        <v>0</v>
      </c>
      <c r="AE197" s="410" t="b">
        <v>0</v>
      </c>
      <c r="AF197" s="395" t="b">
        <v>0</v>
      </c>
      <c r="AG197" s="396" t="b">
        <v>0</v>
      </c>
      <c r="AH197" s="396" t="b">
        <v>0</v>
      </c>
      <c r="AJ197" s="23">
        <f t="shared" ref="AJ197:AJ202" si="244">COUNTA(D197:AH197)</f>
        <v>31</v>
      </c>
      <c r="AK197" s="23">
        <f t="shared" si="243"/>
        <v>0</v>
      </c>
      <c r="AL197" s="24">
        <f t="shared" ref="AL197:AL202" si="245">AK197/AJ197</f>
        <v>0</v>
      </c>
    </row>
    <row r="198" spans="3:38" ht="22.5" customHeight="1" x14ac:dyDescent="0.25">
      <c r="C198" s="402" t="s">
        <v>16</v>
      </c>
      <c r="D198" s="395" t="b">
        <v>0</v>
      </c>
      <c r="E198" s="396" t="b">
        <v>0</v>
      </c>
      <c r="F198" s="396" t="b">
        <v>0</v>
      </c>
      <c r="G198" s="396" t="b">
        <v>0</v>
      </c>
      <c r="H198" s="396" t="b">
        <v>0</v>
      </c>
      <c r="I198" s="396" t="b">
        <v>0</v>
      </c>
      <c r="J198" s="397" t="b">
        <v>0</v>
      </c>
      <c r="K198" s="408" t="b">
        <v>0</v>
      </c>
      <c r="L198" s="409" t="b">
        <v>0</v>
      </c>
      <c r="M198" s="409" t="b">
        <v>0</v>
      </c>
      <c r="N198" s="409" t="b">
        <v>0</v>
      </c>
      <c r="O198" s="409" t="b">
        <v>0</v>
      </c>
      <c r="P198" s="409" t="b">
        <v>0</v>
      </c>
      <c r="Q198" s="410" t="b">
        <v>0</v>
      </c>
      <c r="R198" s="395" t="b">
        <v>0</v>
      </c>
      <c r="S198" s="396" t="b">
        <v>0</v>
      </c>
      <c r="T198" s="396" t="b">
        <v>0</v>
      </c>
      <c r="U198" s="396" t="b">
        <v>0</v>
      </c>
      <c r="V198" s="396" t="b">
        <v>0</v>
      </c>
      <c r="W198" s="396" t="b">
        <v>0</v>
      </c>
      <c r="X198" s="397" t="b">
        <v>0</v>
      </c>
      <c r="Y198" s="408" t="b">
        <v>0</v>
      </c>
      <c r="Z198" s="409" t="b">
        <v>0</v>
      </c>
      <c r="AA198" s="409" t="b">
        <v>0</v>
      </c>
      <c r="AB198" s="409" t="b">
        <v>0</v>
      </c>
      <c r="AC198" s="409" t="b">
        <v>0</v>
      </c>
      <c r="AD198" s="409" t="b">
        <v>0</v>
      </c>
      <c r="AE198" s="410" t="b">
        <v>0</v>
      </c>
      <c r="AF198" s="395" t="b">
        <v>0</v>
      </c>
      <c r="AG198" s="396" t="b">
        <v>0</v>
      </c>
      <c r="AH198" s="396" t="b">
        <v>0</v>
      </c>
      <c r="AJ198" s="23">
        <f t="shared" si="244"/>
        <v>31</v>
      </c>
      <c r="AK198" s="23">
        <f t="shared" si="243"/>
        <v>0</v>
      </c>
      <c r="AL198" s="24">
        <f t="shared" si="245"/>
        <v>0</v>
      </c>
    </row>
    <row r="199" spans="3:38" ht="22.5" customHeight="1" x14ac:dyDescent="0.25">
      <c r="C199" s="402" t="s">
        <v>17</v>
      </c>
      <c r="D199" s="395" t="b">
        <v>0</v>
      </c>
      <c r="E199" s="396" t="b">
        <v>0</v>
      </c>
      <c r="F199" s="396" t="b">
        <v>0</v>
      </c>
      <c r="G199" s="396" t="b">
        <v>0</v>
      </c>
      <c r="H199" s="396" t="b">
        <v>0</v>
      </c>
      <c r="I199" s="396" t="b">
        <v>0</v>
      </c>
      <c r="J199" s="397" t="b">
        <v>0</v>
      </c>
      <c r="K199" s="408" t="b">
        <v>0</v>
      </c>
      <c r="L199" s="409" t="b">
        <v>0</v>
      </c>
      <c r="M199" s="409" t="b">
        <v>0</v>
      </c>
      <c r="N199" s="409" t="b">
        <v>0</v>
      </c>
      <c r="O199" s="409" t="b">
        <v>0</v>
      </c>
      <c r="P199" s="409" t="b">
        <v>0</v>
      </c>
      <c r="Q199" s="410" t="b">
        <v>0</v>
      </c>
      <c r="R199" s="395" t="b">
        <v>0</v>
      </c>
      <c r="S199" s="396" t="b">
        <v>0</v>
      </c>
      <c r="T199" s="396" t="b">
        <v>0</v>
      </c>
      <c r="U199" s="396" t="b">
        <v>0</v>
      </c>
      <c r="V199" s="396" t="b">
        <v>0</v>
      </c>
      <c r="W199" s="396" t="b">
        <v>0</v>
      </c>
      <c r="X199" s="397" t="b">
        <v>0</v>
      </c>
      <c r="Y199" s="408" t="b">
        <v>0</v>
      </c>
      <c r="Z199" s="409" t="b">
        <v>0</v>
      </c>
      <c r="AA199" s="409" t="b">
        <v>0</v>
      </c>
      <c r="AB199" s="409" t="b">
        <v>0</v>
      </c>
      <c r="AC199" s="409" t="b">
        <v>0</v>
      </c>
      <c r="AD199" s="409" t="b">
        <v>0</v>
      </c>
      <c r="AE199" s="410" t="b">
        <v>0</v>
      </c>
      <c r="AF199" s="395" t="b">
        <v>0</v>
      </c>
      <c r="AG199" s="396" t="b">
        <v>0</v>
      </c>
      <c r="AH199" s="396" t="b">
        <v>0</v>
      </c>
      <c r="AJ199" s="23">
        <f t="shared" si="244"/>
        <v>31</v>
      </c>
      <c r="AK199" s="23">
        <f t="shared" si="243"/>
        <v>0</v>
      </c>
      <c r="AL199" s="24">
        <f t="shared" si="245"/>
        <v>0</v>
      </c>
    </row>
    <row r="200" spans="3:38" ht="22.5" customHeight="1" x14ac:dyDescent="0.25">
      <c r="C200" s="402" t="s">
        <v>19</v>
      </c>
      <c r="D200" s="395" t="b">
        <v>0</v>
      </c>
      <c r="E200" s="396" t="b">
        <v>0</v>
      </c>
      <c r="F200" s="396" t="b">
        <v>0</v>
      </c>
      <c r="G200" s="396" t="b">
        <v>0</v>
      </c>
      <c r="H200" s="396" t="b">
        <v>0</v>
      </c>
      <c r="I200" s="396" t="b">
        <v>0</v>
      </c>
      <c r="J200" s="397" t="b">
        <v>0</v>
      </c>
      <c r="K200" s="408" t="b">
        <v>0</v>
      </c>
      <c r="L200" s="409" t="b">
        <v>0</v>
      </c>
      <c r="M200" s="409" t="b">
        <v>0</v>
      </c>
      <c r="N200" s="409" t="b">
        <v>0</v>
      </c>
      <c r="O200" s="409" t="b">
        <v>0</v>
      </c>
      <c r="P200" s="409" t="b">
        <v>0</v>
      </c>
      <c r="Q200" s="410" t="b">
        <v>0</v>
      </c>
      <c r="R200" s="395" t="b">
        <v>0</v>
      </c>
      <c r="S200" s="396" t="b">
        <v>0</v>
      </c>
      <c r="T200" s="396" t="b">
        <v>0</v>
      </c>
      <c r="U200" s="396" t="b">
        <v>0</v>
      </c>
      <c r="V200" s="396" t="b">
        <v>0</v>
      </c>
      <c r="W200" s="396" t="b">
        <v>0</v>
      </c>
      <c r="X200" s="397" t="b">
        <v>0</v>
      </c>
      <c r="Y200" s="408" t="b">
        <v>0</v>
      </c>
      <c r="Z200" s="409" t="b">
        <v>0</v>
      </c>
      <c r="AA200" s="409" t="b">
        <v>0</v>
      </c>
      <c r="AB200" s="409" t="b">
        <v>0</v>
      </c>
      <c r="AC200" s="409" t="b">
        <v>0</v>
      </c>
      <c r="AD200" s="409" t="b">
        <v>0</v>
      </c>
      <c r="AE200" s="410" t="b">
        <v>0</v>
      </c>
      <c r="AF200" s="395" t="b">
        <v>0</v>
      </c>
      <c r="AG200" s="396" t="b">
        <v>0</v>
      </c>
      <c r="AH200" s="396" t="b">
        <v>0</v>
      </c>
      <c r="AJ200" s="23">
        <f t="shared" si="244"/>
        <v>31</v>
      </c>
      <c r="AK200" s="23">
        <f t="shared" si="243"/>
        <v>0</v>
      </c>
      <c r="AL200" s="24">
        <f t="shared" si="245"/>
        <v>0</v>
      </c>
    </row>
    <row r="201" spans="3:38" ht="22.5" customHeight="1" x14ac:dyDescent="0.25">
      <c r="C201" s="402" t="s">
        <v>20</v>
      </c>
      <c r="D201" s="395" t="b">
        <v>0</v>
      </c>
      <c r="E201" s="396" t="b">
        <v>0</v>
      </c>
      <c r="F201" s="396" t="b">
        <v>0</v>
      </c>
      <c r="G201" s="396" t="b">
        <v>0</v>
      </c>
      <c r="H201" s="396" t="b">
        <v>0</v>
      </c>
      <c r="I201" s="396" t="b">
        <v>0</v>
      </c>
      <c r="J201" s="397" t="b">
        <v>0</v>
      </c>
      <c r="K201" s="408" t="b">
        <v>0</v>
      </c>
      <c r="L201" s="409" t="b">
        <v>0</v>
      </c>
      <c r="M201" s="409" t="b">
        <v>0</v>
      </c>
      <c r="N201" s="409" t="b">
        <v>0</v>
      </c>
      <c r="O201" s="409" t="b">
        <v>0</v>
      </c>
      <c r="P201" s="409" t="b">
        <v>0</v>
      </c>
      <c r="Q201" s="410" t="b">
        <v>0</v>
      </c>
      <c r="R201" s="395" t="b">
        <v>0</v>
      </c>
      <c r="S201" s="396" t="b">
        <v>0</v>
      </c>
      <c r="T201" s="396" t="b">
        <v>0</v>
      </c>
      <c r="U201" s="396" t="b">
        <v>0</v>
      </c>
      <c r="V201" s="396" t="b">
        <v>0</v>
      </c>
      <c r="W201" s="396" t="b">
        <v>0</v>
      </c>
      <c r="X201" s="397" t="b">
        <v>0</v>
      </c>
      <c r="Y201" s="408" t="b">
        <v>0</v>
      </c>
      <c r="Z201" s="409" t="b">
        <v>0</v>
      </c>
      <c r="AA201" s="409" t="b">
        <v>0</v>
      </c>
      <c r="AB201" s="409" t="b">
        <v>0</v>
      </c>
      <c r="AC201" s="409" t="b">
        <v>0</v>
      </c>
      <c r="AD201" s="409" t="b">
        <v>0</v>
      </c>
      <c r="AE201" s="410" t="b">
        <v>0</v>
      </c>
      <c r="AF201" s="395" t="b">
        <v>0</v>
      </c>
      <c r="AG201" s="396" t="b">
        <v>0</v>
      </c>
      <c r="AH201" s="396" t="b">
        <v>0</v>
      </c>
      <c r="AJ201" s="23">
        <f t="shared" si="244"/>
        <v>31</v>
      </c>
      <c r="AK201" s="23">
        <f t="shared" si="243"/>
        <v>0</v>
      </c>
      <c r="AL201" s="24">
        <f t="shared" si="245"/>
        <v>0</v>
      </c>
    </row>
    <row r="202" spans="3:38" ht="22.5" customHeight="1" x14ac:dyDescent="0.25">
      <c r="C202" s="403" t="s">
        <v>18</v>
      </c>
      <c r="D202" s="398" t="b">
        <v>0</v>
      </c>
      <c r="E202" s="399" t="b">
        <v>0</v>
      </c>
      <c r="F202" s="399" t="b">
        <v>0</v>
      </c>
      <c r="G202" s="399" t="b">
        <v>0</v>
      </c>
      <c r="H202" s="399" t="b">
        <v>0</v>
      </c>
      <c r="I202" s="399" t="b">
        <v>0</v>
      </c>
      <c r="J202" s="400" t="b">
        <v>0</v>
      </c>
      <c r="K202" s="411" t="b">
        <v>0</v>
      </c>
      <c r="L202" s="412" t="b">
        <v>0</v>
      </c>
      <c r="M202" s="412" t="b">
        <v>0</v>
      </c>
      <c r="N202" s="412" t="b">
        <v>0</v>
      </c>
      <c r="O202" s="412" t="b">
        <v>0</v>
      </c>
      <c r="P202" s="412" t="b">
        <v>0</v>
      </c>
      <c r="Q202" s="413" t="b">
        <v>0</v>
      </c>
      <c r="R202" s="398" t="b">
        <v>0</v>
      </c>
      <c r="S202" s="399" t="b">
        <v>0</v>
      </c>
      <c r="T202" s="399" t="b">
        <v>0</v>
      </c>
      <c r="U202" s="399" t="b">
        <v>0</v>
      </c>
      <c r="V202" s="399" t="b">
        <v>0</v>
      </c>
      <c r="W202" s="399" t="b">
        <v>0</v>
      </c>
      <c r="X202" s="400" t="b">
        <v>0</v>
      </c>
      <c r="Y202" s="411" t="b">
        <v>0</v>
      </c>
      <c r="Z202" s="412" t="b">
        <v>0</v>
      </c>
      <c r="AA202" s="412" t="b">
        <v>0</v>
      </c>
      <c r="AB202" s="412" t="b">
        <v>0</v>
      </c>
      <c r="AC202" s="412" t="b">
        <v>0</v>
      </c>
      <c r="AD202" s="412" t="b">
        <v>0</v>
      </c>
      <c r="AE202" s="413" t="b">
        <v>0</v>
      </c>
      <c r="AF202" s="398" t="b">
        <v>0</v>
      </c>
      <c r="AG202" s="399" t="b">
        <v>0</v>
      </c>
      <c r="AH202" s="399" t="b">
        <v>0</v>
      </c>
      <c r="AJ202" s="23">
        <f t="shared" si="244"/>
        <v>31</v>
      </c>
      <c r="AK202" s="23">
        <f t="shared" si="243"/>
        <v>0</v>
      </c>
      <c r="AL202" s="24">
        <f t="shared" si="245"/>
        <v>0</v>
      </c>
    </row>
    <row r="203" spans="3:38" ht="22.5" customHeight="1" x14ac:dyDescent="0.25">
      <c r="D203">
        <f>COUNTIF(D196:D202, TRUE)</f>
        <v>0</v>
      </c>
      <c r="E203">
        <f t="shared" ref="E203" si="246">COUNTIF(E196:E202, TRUE)</f>
        <v>0</v>
      </c>
      <c r="F203">
        <f t="shared" ref="F203" si="247">COUNTIF(F196:F202, TRUE)</f>
        <v>0</v>
      </c>
      <c r="G203">
        <f t="shared" ref="G203" si="248">COUNTIF(G196:G202, TRUE)</f>
        <v>0</v>
      </c>
      <c r="H203">
        <f t="shared" ref="H203" si="249">COUNTIF(H196:H202, TRUE)</f>
        <v>0</v>
      </c>
      <c r="I203">
        <f t="shared" ref="I203" si="250">COUNTIF(I196:I202, TRUE)</f>
        <v>0</v>
      </c>
      <c r="J203">
        <f t="shared" ref="J203" si="251">COUNTIF(J196:J202, TRUE)</f>
        <v>0</v>
      </c>
      <c r="K203">
        <f t="shared" ref="K203" si="252">COUNTIF(K196:K202, TRUE)</f>
        <v>0</v>
      </c>
      <c r="L203">
        <f t="shared" ref="L203" si="253">COUNTIF(L196:L202, TRUE)</f>
        <v>0</v>
      </c>
      <c r="M203">
        <f t="shared" ref="M203" si="254">COUNTIF(M196:M202, TRUE)</f>
        <v>0</v>
      </c>
      <c r="N203">
        <f t="shared" ref="N203" si="255">COUNTIF(N196:N202, TRUE)</f>
        <v>0</v>
      </c>
      <c r="O203">
        <f t="shared" ref="O203" si="256">COUNTIF(O196:O202, TRUE)</f>
        <v>0</v>
      </c>
      <c r="P203">
        <f t="shared" ref="P203" si="257">COUNTIF(P196:P202, TRUE)</f>
        <v>0</v>
      </c>
      <c r="Q203">
        <f t="shared" ref="Q203" si="258">COUNTIF(Q196:Q202, TRUE)</f>
        <v>0</v>
      </c>
      <c r="R203">
        <f t="shared" ref="R203" si="259">COUNTIF(R196:R202, TRUE)</f>
        <v>0</v>
      </c>
      <c r="S203">
        <f t="shared" ref="S203" si="260">COUNTIF(S196:S202, TRUE)</f>
        <v>0</v>
      </c>
      <c r="T203">
        <f t="shared" ref="T203" si="261">COUNTIF(T196:T202, TRUE)</f>
        <v>0</v>
      </c>
      <c r="U203">
        <f t="shared" ref="U203" si="262">COUNTIF(U196:U202, TRUE)</f>
        <v>0</v>
      </c>
      <c r="V203">
        <f t="shared" ref="V203" si="263">COUNTIF(V196:V202, TRUE)</f>
        <v>0</v>
      </c>
      <c r="W203">
        <f t="shared" ref="W203" si="264">COUNTIF(W196:W202, TRUE)</f>
        <v>0</v>
      </c>
      <c r="X203">
        <f t="shared" ref="X203" si="265">COUNTIF(X196:X202, TRUE)</f>
        <v>0</v>
      </c>
      <c r="Y203">
        <f t="shared" ref="Y203" si="266">COUNTIF(Y196:Y202, TRUE)</f>
        <v>0</v>
      </c>
      <c r="Z203">
        <f t="shared" ref="Z203" si="267">COUNTIF(Z196:Z202, TRUE)</f>
        <v>0</v>
      </c>
      <c r="AA203">
        <f t="shared" ref="AA203" si="268">COUNTIF(AA196:AA202, TRUE)</f>
        <v>0</v>
      </c>
      <c r="AB203">
        <f t="shared" ref="AB203" si="269">COUNTIF(AB196:AB202, TRUE)</f>
        <v>0</v>
      </c>
      <c r="AC203">
        <f t="shared" ref="AC203" si="270">COUNTIF(AC196:AC202, TRUE)</f>
        <v>0</v>
      </c>
      <c r="AD203">
        <f t="shared" ref="AD203" si="271">COUNTIF(AD196:AD202, TRUE)</f>
        <v>0</v>
      </c>
      <c r="AE203">
        <f t="shared" ref="AE203" si="272">COUNTIF(AE196:AE202, TRUE)</f>
        <v>0</v>
      </c>
      <c r="AF203">
        <f t="shared" ref="AF203" si="273">COUNTIF(AF196:AF202, TRUE)</f>
        <v>0</v>
      </c>
      <c r="AG203">
        <f t="shared" ref="AG203" si="274">COUNTIF(AG196:AG202, TRUE)</f>
        <v>0</v>
      </c>
      <c r="AH203">
        <f t="shared" ref="AH203" si="275">COUNTIF(AH196:AH202, TRUE)</f>
        <v>0</v>
      </c>
    </row>
  </sheetData>
  <mergeCells count="107">
    <mergeCell ref="AF193:AH193"/>
    <mergeCell ref="AJ193:AL194"/>
    <mergeCell ref="D190:J191"/>
    <mergeCell ref="W191:Y191"/>
    <mergeCell ref="C193:C195"/>
    <mergeCell ref="D193:J193"/>
    <mergeCell ref="K193:Q193"/>
    <mergeCell ref="R193:X193"/>
    <mergeCell ref="Y193:AE193"/>
    <mergeCell ref="AF159:AH159"/>
    <mergeCell ref="AJ159:AL160"/>
    <mergeCell ref="D173:J174"/>
    <mergeCell ref="W174:Y174"/>
    <mergeCell ref="C176:C178"/>
    <mergeCell ref="D176:J176"/>
    <mergeCell ref="K176:Q176"/>
    <mergeCell ref="R176:X176"/>
    <mergeCell ref="Y176:AE176"/>
    <mergeCell ref="AF176:AG176"/>
    <mergeCell ref="AI176:AK177"/>
    <mergeCell ref="D156:J157"/>
    <mergeCell ref="W157:Y157"/>
    <mergeCell ref="C159:C161"/>
    <mergeCell ref="D159:J159"/>
    <mergeCell ref="K159:Q159"/>
    <mergeCell ref="R159:X159"/>
    <mergeCell ref="Y159:AE159"/>
    <mergeCell ref="AF125:AH125"/>
    <mergeCell ref="AJ125:AL126"/>
    <mergeCell ref="D139:J140"/>
    <mergeCell ref="W140:Y140"/>
    <mergeCell ref="C142:C144"/>
    <mergeCell ref="D142:J142"/>
    <mergeCell ref="K142:Q142"/>
    <mergeCell ref="R142:X142"/>
    <mergeCell ref="Y142:AE142"/>
    <mergeCell ref="AF142:AG142"/>
    <mergeCell ref="AI142:AK143"/>
    <mergeCell ref="D122:J123"/>
    <mergeCell ref="W123:Y123"/>
    <mergeCell ref="C125:C127"/>
    <mergeCell ref="D125:J125"/>
    <mergeCell ref="K125:Q125"/>
    <mergeCell ref="R125:X125"/>
    <mergeCell ref="Y125:AE125"/>
    <mergeCell ref="AF91:AG91"/>
    <mergeCell ref="AI91:AK92"/>
    <mergeCell ref="D105:J106"/>
    <mergeCell ref="W106:Y106"/>
    <mergeCell ref="C108:C110"/>
    <mergeCell ref="D108:J108"/>
    <mergeCell ref="K108:Q108"/>
    <mergeCell ref="R108:X108"/>
    <mergeCell ref="Y108:AE108"/>
    <mergeCell ref="AF108:AH108"/>
    <mergeCell ref="AJ108:AL109"/>
    <mergeCell ref="D88:J89"/>
    <mergeCell ref="W89:Y89"/>
    <mergeCell ref="C91:C93"/>
    <mergeCell ref="D91:J91"/>
    <mergeCell ref="K91:Q91"/>
    <mergeCell ref="R91:X91"/>
    <mergeCell ref="Y91:AE91"/>
    <mergeCell ref="D71:J72"/>
    <mergeCell ref="W72:Y72"/>
    <mergeCell ref="C74:C76"/>
    <mergeCell ref="D74:J74"/>
    <mergeCell ref="K74:Q74"/>
    <mergeCell ref="R74:X74"/>
    <mergeCell ref="Y74:AE74"/>
    <mergeCell ref="AF74:AH74"/>
    <mergeCell ref="AJ74:AL75"/>
    <mergeCell ref="AJ40:AL41"/>
    <mergeCell ref="AF57:AG57"/>
    <mergeCell ref="AI57:AK58"/>
    <mergeCell ref="C6:C8"/>
    <mergeCell ref="D3:J4"/>
    <mergeCell ref="AJ6:AL7"/>
    <mergeCell ref="W4:Y4"/>
    <mergeCell ref="D6:J6"/>
    <mergeCell ref="K6:Q6"/>
    <mergeCell ref="R6:X6"/>
    <mergeCell ref="Y6:AE6"/>
    <mergeCell ref="AF6:AH6"/>
    <mergeCell ref="D54:J55"/>
    <mergeCell ref="W55:Y55"/>
    <mergeCell ref="C57:C59"/>
    <mergeCell ref="D57:J57"/>
    <mergeCell ref="K57:Q57"/>
    <mergeCell ref="R57:X57"/>
    <mergeCell ref="Y57:AE57"/>
    <mergeCell ref="D20:J21"/>
    <mergeCell ref="W21:Y21"/>
    <mergeCell ref="C23:C25"/>
    <mergeCell ref="D23:J23"/>
    <mergeCell ref="K23:Q23"/>
    <mergeCell ref="R23:X23"/>
    <mergeCell ref="Y23:AE23"/>
    <mergeCell ref="AG23:AI24"/>
    <mergeCell ref="D37:J38"/>
    <mergeCell ref="W38:Y38"/>
    <mergeCell ref="C40:C42"/>
    <mergeCell ref="D40:J40"/>
    <mergeCell ref="K40:Q40"/>
    <mergeCell ref="R40:X40"/>
    <mergeCell ref="Y40:AE40"/>
    <mergeCell ref="AF40:AH40"/>
  </mergeCells>
  <phoneticPr fontId="5" type="noConversion"/>
  <conditionalFormatting sqref="D9">
    <cfRule type="dataBar" priority="107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{5ED69647-70F7-4B31-BC60-FE05E7E62523}</x14:id>
        </ext>
      </extLst>
    </cfRule>
  </conditionalFormatting>
  <conditionalFormatting sqref="D26">
    <cfRule type="dataBar" priority="45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{E7FE22FB-CB2A-49A9-AAE1-2DA188F448A1}</x14:id>
        </ext>
      </extLst>
    </cfRule>
  </conditionalFormatting>
  <conditionalFormatting sqref="D43">
    <cfRule type="dataBar" priority="44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{36C732D8-D109-4418-92F7-A524B8657AEC}</x14:id>
        </ext>
      </extLst>
    </cfRule>
  </conditionalFormatting>
  <conditionalFormatting sqref="D60">
    <cfRule type="dataBar" priority="4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{935E94C9-E537-4A6B-A9F7-052DB294AABA}</x14:id>
        </ext>
      </extLst>
    </cfRule>
  </conditionalFormatting>
  <conditionalFormatting sqref="AF43 R43">
    <cfRule type="dataBar" priority="4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{FF4E7EEE-2494-4CF4-AEDF-8A677F242989}</x14:id>
        </ext>
      </extLst>
    </cfRule>
  </conditionalFormatting>
  <conditionalFormatting sqref="W4">
    <cfRule type="dataBar" priority="104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{16FF151F-02E3-478F-99D5-766BAB02E6CC}</x14:id>
        </ext>
      </extLst>
    </cfRule>
  </conditionalFormatting>
  <conditionalFormatting sqref="W21">
    <cfRule type="dataBar" priority="46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{72AB4C03-5840-41D2-B3ED-28065DBBC2D3}</x14:id>
        </ext>
      </extLst>
    </cfRule>
  </conditionalFormatting>
  <conditionalFormatting sqref="W38">
    <cfRule type="dataBar" priority="42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{8F1D327F-FF34-46DF-A434-06E494E78702}</x14:id>
        </ext>
      </extLst>
    </cfRule>
  </conditionalFormatting>
  <conditionalFormatting sqref="W55">
    <cfRule type="dataBar" priority="38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{1480BBBE-2F57-4FE5-ACD7-DEE8015ECD16}</x14:id>
        </ext>
      </extLst>
    </cfRule>
  </conditionalFormatting>
  <conditionalFormatting sqref="AF60 R60">
    <cfRule type="dataBar" priority="37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{E44F036B-F6B5-4E37-ACEF-AE4CF4CE02E6}</x14:id>
        </ext>
      </extLst>
    </cfRule>
  </conditionalFormatting>
  <conditionalFormatting sqref="AI26:AI32">
    <cfRule type="dataBar" priority="47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{8D9195FB-83B8-4EB0-ABF7-24039346436A}</x14:id>
        </ext>
      </extLst>
    </cfRule>
  </conditionalFormatting>
  <conditionalFormatting sqref="AK60:AK66">
    <cfRule type="dataBar" priority="39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{6018BAAE-F0F0-47E9-9BF7-C7F8B7F5EDEA}</x14:id>
        </ext>
      </extLst>
    </cfRule>
  </conditionalFormatting>
  <conditionalFormatting sqref="AL9:AL15">
    <cfRule type="dataBar" priority="105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{D8E2A7FE-A212-43C1-B471-5DF116DB2D6A}</x14:id>
        </ext>
      </extLst>
    </cfRule>
  </conditionalFormatting>
  <conditionalFormatting sqref="AL43:AL49">
    <cfRule type="dataBar" priority="43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{33039DB8-607B-4505-B8C4-615A4DE29E6C}</x14:id>
        </ext>
      </extLst>
    </cfRule>
  </conditionalFormatting>
  <conditionalFormatting sqref="D77">
    <cfRule type="dataBar" priority="3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{14C8A1F8-357F-4ED7-9EC2-EB8E218EF5C8}</x14:id>
        </ext>
      </extLst>
    </cfRule>
  </conditionalFormatting>
  <conditionalFormatting sqref="W72">
    <cfRule type="dataBar" priority="30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{03461332-9D5D-43B5-84CC-D99171C365B9}</x14:id>
        </ext>
      </extLst>
    </cfRule>
  </conditionalFormatting>
  <conditionalFormatting sqref="R77 AF77">
    <cfRule type="dataBar" priority="29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{84649551-B080-4E02-8EB3-515540DC5C82}</x14:id>
        </ext>
      </extLst>
    </cfRule>
  </conditionalFormatting>
  <conditionalFormatting sqref="AL77:AL83">
    <cfRule type="dataBar" priority="31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{865BC0AE-316B-4B6E-85DC-5FE6FAC6A597}</x14:id>
        </ext>
      </extLst>
    </cfRule>
  </conditionalFormatting>
  <conditionalFormatting sqref="D94">
    <cfRule type="dataBar" priority="28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{FFFE0A50-EAA2-4D4B-82F7-41CD1E91B368}</x14:id>
        </ext>
      </extLst>
    </cfRule>
  </conditionalFormatting>
  <conditionalFormatting sqref="W89">
    <cfRule type="dataBar" priority="26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{40E46700-C3B5-4864-9DC7-E5C2DB06A38C}</x14:id>
        </ext>
      </extLst>
    </cfRule>
  </conditionalFormatting>
  <conditionalFormatting sqref="AF94 R94">
    <cfRule type="dataBar" priority="25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{34861007-CCA7-4A20-AB8B-F4B5226EEC3E}</x14:id>
        </ext>
      </extLst>
    </cfRule>
  </conditionalFormatting>
  <conditionalFormatting sqref="AK94:AK100">
    <cfRule type="dataBar" priority="27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{3B0AE15D-EF9A-4C8F-87F0-5BFCBD84AF97}</x14:id>
        </ext>
      </extLst>
    </cfRule>
  </conditionalFormatting>
  <conditionalFormatting sqref="D111">
    <cfRule type="dataBar" priority="24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{2447751B-6493-478C-A4EE-1E1293762A6D}</x14:id>
        </ext>
      </extLst>
    </cfRule>
  </conditionalFormatting>
  <conditionalFormatting sqref="R111 AF111">
    <cfRule type="dataBar" priority="2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{294DE55F-87DC-4DF4-B7C0-908E73C04255}</x14:id>
        </ext>
      </extLst>
    </cfRule>
  </conditionalFormatting>
  <conditionalFormatting sqref="W106">
    <cfRule type="dataBar" priority="22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{D88D88CA-72B9-4C15-BF31-55AD4C278628}</x14:id>
        </ext>
      </extLst>
    </cfRule>
  </conditionalFormatting>
  <conditionalFormatting sqref="AL111:AL117">
    <cfRule type="dataBar" priority="23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{44C0F53A-E57E-4CB8-95E9-595BDE9E395D}</x14:id>
        </ext>
      </extLst>
    </cfRule>
  </conditionalFormatting>
  <conditionalFormatting sqref="D128">
    <cfRule type="dataBar" priority="20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{8FC13812-A697-4DB4-8528-97FFD803D78D}</x14:id>
        </ext>
      </extLst>
    </cfRule>
  </conditionalFormatting>
  <conditionalFormatting sqref="R128 AF128">
    <cfRule type="dataBar" priority="17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{E747C6C6-37E8-4CDB-B88E-B35D0D3902D7}</x14:id>
        </ext>
      </extLst>
    </cfRule>
  </conditionalFormatting>
  <conditionalFormatting sqref="W123">
    <cfRule type="dataBar" priority="18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{E9E37901-F10B-4FC1-AB6B-7EA4F8571EB6}</x14:id>
        </ext>
      </extLst>
    </cfRule>
  </conditionalFormatting>
  <conditionalFormatting sqref="AL128:AL134">
    <cfRule type="dataBar" priority="19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{9D14DD49-B05F-43D1-B0B4-F18975318C91}</x14:id>
        </ext>
      </extLst>
    </cfRule>
  </conditionalFormatting>
  <conditionalFormatting sqref="D145">
    <cfRule type="dataBar" priority="16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{6B1D6E76-1350-4770-9633-A2AD1B49C833}</x14:id>
        </ext>
      </extLst>
    </cfRule>
  </conditionalFormatting>
  <conditionalFormatting sqref="R145 AF145">
    <cfRule type="dataBar" priority="13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{8F854012-4BE7-4FB9-B5E3-08A1C2F17717}</x14:id>
        </ext>
      </extLst>
    </cfRule>
  </conditionalFormatting>
  <conditionalFormatting sqref="W140">
    <cfRule type="dataBar" priority="14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{8010F52A-7C35-4019-9DCE-82FB884F6003}</x14:id>
        </ext>
      </extLst>
    </cfRule>
  </conditionalFormatting>
  <conditionalFormatting sqref="AK145:AK151">
    <cfRule type="dataBar" priority="15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{6E5B1560-DA57-4056-A579-37FEC586E947}</x14:id>
        </ext>
      </extLst>
    </cfRule>
  </conditionalFormatting>
  <conditionalFormatting sqref="D162">
    <cfRule type="dataBar" priority="12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{32488DEF-819D-42CD-95A0-184EC319CEA7}</x14:id>
        </ext>
      </extLst>
    </cfRule>
  </conditionalFormatting>
  <conditionalFormatting sqref="R162 AF162">
    <cfRule type="dataBar" priority="9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{22C7A67F-F11E-488E-911E-801B94D5CC86}</x14:id>
        </ext>
      </extLst>
    </cfRule>
  </conditionalFormatting>
  <conditionalFormatting sqref="W157">
    <cfRule type="dataBar" priority="10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{0A25025F-1BF7-40B4-89D6-3236C5F2A446}</x14:id>
        </ext>
      </extLst>
    </cfRule>
  </conditionalFormatting>
  <conditionalFormatting sqref="AL162:AL168">
    <cfRule type="dataBar" priority="11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{A6628545-90AA-450E-BD81-A8BE76795BA1}</x14:id>
        </ext>
      </extLst>
    </cfRule>
  </conditionalFormatting>
  <conditionalFormatting sqref="D179">
    <cfRule type="dataBar" priority="8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{CC499CD4-6A8D-4832-A479-13D63CBFD365}</x14:id>
        </ext>
      </extLst>
    </cfRule>
  </conditionalFormatting>
  <conditionalFormatting sqref="AF179 R179">
    <cfRule type="dataBar" priority="5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{0EF38000-A3F6-4F8F-B8C8-148665EB854C}</x14:id>
        </ext>
      </extLst>
    </cfRule>
  </conditionalFormatting>
  <conditionalFormatting sqref="W174">
    <cfRule type="dataBar" priority="6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{3557E7E3-9F84-4DEF-A6B7-B1117605C1C5}</x14:id>
        </ext>
      </extLst>
    </cfRule>
  </conditionalFormatting>
  <conditionalFormatting sqref="AK179:AK185">
    <cfRule type="dataBar" priority="7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{06CEA10F-EF73-4124-9DB8-B0823D7375AC}</x14:id>
        </ext>
      </extLst>
    </cfRule>
  </conditionalFormatting>
  <conditionalFormatting sqref="D196">
    <cfRule type="dataBar" priority="4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{FFAA9E0C-03A3-42AC-9348-0084032785F0}</x14:id>
        </ext>
      </extLst>
    </cfRule>
  </conditionalFormatting>
  <conditionalFormatting sqref="R196 AF196">
    <cfRule type="dataBar" priority="1">
      <dataBar showValue="0">
        <cfvo type="min"/>
        <cfvo type="max"/>
        <color rgb="FF63C384"/>
      </dataBar>
      <extLst>
        <ext xmlns:x14="http://schemas.microsoft.com/office/spreadsheetml/2009/9/main" uri="{B025F937-C7B1-47D3-B67F-A62EFF666E3E}">
          <x14:id>{0E1F6DE0-D210-45AA-83B5-88E08C6DD327}</x14:id>
        </ext>
      </extLst>
    </cfRule>
  </conditionalFormatting>
  <conditionalFormatting sqref="W191">
    <cfRule type="dataBar" priority="2">
      <dataBar showValue="0">
        <cfvo type="num" val="0"/>
        <cfvo type="num" val="1"/>
        <color theme="0" tint="-4.9989318521683403E-2"/>
      </dataBar>
      <extLst>
        <ext xmlns:x14="http://schemas.microsoft.com/office/spreadsheetml/2009/9/main" uri="{B025F937-C7B1-47D3-B67F-A62EFF666E3E}">
          <x14:id>{8164E799-BA8B-4B26-A02D-793E6951B29E}</x14:id>
        </ext>
      </extLst>
    </cfRule>
  </conditionalFormatting>
  <conditionalFormatting sqref="AL196:AL202">
    <cfRule type="dataBar" priority="3">
      <dataBar showValue="0"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{ACB00CCA-5070-4231-8056-A0836F1710D8}</x14:id>
        </ext>
      </extLst>
    </cfRule>
  </conditionalFormatting>
  <hyperlinks>
    <hyperlink ref="A1" location="Tracker!B2" display="Home" xr:uid="{305CD81D-1102-472E-AC11-9D755834CCB3}"/>
    <hyperlink ref="L1" location="JANUARY2026" display="Jan" xr:uid="{C5F547FB-EECA-4467-BF87-0D6CBA78D93A}"/>
    <hyperlink ref="M1" location="FEBRUARY2026" display="Feb" xr:uid="{F81387FE-461E-4315-A2C3-08EE90B4D5BE}"/>
    <hyperlink ref="N1" location="MARCH2026" display="Mar" xr:uid="{0AEAC8CF-A4C7-4688-B150-66CB42A3BA1D}"/>
    <hyperlink ref="O1" location="APRIL2026" display="Apr" xr:uid="{FAB4BD74-4F6D-4ADA-862D-9A9E66EAA189}"/>
    <hyperlink ref="P1" location="MAY_2026" display="May" xr:uid="{8D2F73AA-3219-4B91-A1BD-86693FA6CF71}"/>
    <hyperlink ref="Q1" location="JUNE2026" display="Jun" xr:uid="{A3FF9B87-6082-4AA8-8D86-C7681FE53D55}"/>
    <hyperlink ref="R1" location="JULY2026" display="Jul" xr:uid="{E2262770-AF14-41AB-B960-34875CAFC307}"/>
    <hyperlink ref="S1" location="AUGUST2026" display="Aug" xr:uid="{B6C4B3F2-1D5A-4B2B-BC29-EE11C0C5213E}"/>
    <hyperlink ref="T1" location="SEPTEMBER2026" display="Sep" xr:uid="{C866DB43-79E3-43A6-9104-EA22526B2FDF}"/>
    <hyperlink ref="U1" location="OCTOBER2026" display="Oct" xr:uid="{E1117ED5-B4BB-42E1-930D-67C369B5E065}"/>
    <hyperlink ref="V1" location="NOVEMBER2026" display="Nov" xr:uid="{1985A943-C06F-4A73-BC43-43AEC115333C}"/>
    <hyperlink ref="W1" location="DECEMBER2026" display="Dec" xr:uid="{7E3B2CA7-6273-4B36-A6D3-60B3CF373125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D69647-70F7-4B31-BC60-FE05E7E625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E7FE22FB-CB2A-49A9-AAE1-2DA188F44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D26</xm:sqref>
        </x14:conditionalFormatting>
        <x14:conditionalFormatting xmlns:xm="http://schemas.microsoft.com/office/excel/2006/main">
          <x14:cfRule type="dataBar" id="{36C732D8-D109-4418-92F7-A524B8657A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D43</xm:sqref>
        </x14:conditionalFormatting>
        <x14:conditionalFormatting xmlns:xm="http://schemas.microsoft.com/office/excel/2006/main">
          <x14:cfRule type="dataBar" id="{935E94C9-E537-4A6B-A9F7-052DB294AA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D60</xm:sqref>
        </x14:conditionalFormatting>
        <x14:conditionalFormatting xmlns:xm="http://schemas.microsoft.com/office/excel/2006/main">
          <x14:cfRule type="dataBar" id="{FF4E7EEE-2494-4CF4-AEDF-8A677F2429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AF43 R43</xm:sqref>
        </x14:conditionalFormatting>
        <x14:conditionalFormatting xmlns:xm="http://schemas.microsoft.com/office/excel/2006/main">
          <x14:cfRule type="dataBar" id="{16FF151F-02E3-478F-99D5-766BAB02E6CC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W4</xm:sqref>
        </x14:conditionalFormatting>
        <x14:conditionalFormatting xmlns:xm="http://schemas.microsoft.com/office/excel/2006/main">
          <x14:cfRule type="dataBar" id="{72AB4C03-5840-41D2-B3ED-28065DBBC2D3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W21</xm:sqref>
        </x14:conditionalFormatting>
        <x14:conditionalFormatting xmlns:xm="http://schemas.microsoft.com/office/excel/2006/main">
          <x14:cfRule type="dataBar" id="{8F1D327F-FF34-46DF-A434-06E494E7870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W38</xm:sqref>
        </x14:conditionalFormatting>
        <x14:conditionalFormatting xmlns:xm="http://schemas.microsoft.com/office/excel/2006/main">
          <x14:cfRule type="dataBar" id="{1480BBBE-2F57-4FE5-ACD7-DEE8015ECD16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W55</xm:sqref>
        </x14:conditionalFormatting>
        <x14:conditionalFormatting xmlns:xm="http://schemas.microsoft.com/office/excel/2006/main">
          <x14:cfRule type="dataBar" id="{E44F036B-F6B5-4E37-ACEF-AE4CF4CE02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AF60 R60</xm:sqref>
        </x14:conditionalFormatting>
        <x14:conditionalFormatting xmlns:xm="http://schemas.microsoft.com/office/excel/2006/main">
          <x14:cfRule type="dataBar" id="{8D9195FB-83B8-4EB0-ABF7-24039346436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AI26:AI32</xm:sqref>
        </x14:conditionalFormatting>
        <x14:conditionalFormatting xmlns:xm="http://schemas.microsoft.com/office/excel/2006/main">
          <x14:cfRule type="dataBar" id="{6018BAAE-F0F0-47E9-9BF7-C7F8B7F5EDE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AK60:AK66</xm:sqref>
        </x14:conditionalFormatting>
        <x14:conditionalFormatting xmlns:xm="http://schemas.microsoft.com/office/excel/2006/main">
          <x14:cfRule type="dataBar" id="{D8E2A7FE-A212-43C1-B471-5DF116DB2D6A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AL9:AL15</xm:sqref>
        </x14:conditionalFormatting>
        <x14:conditionalFormatting xmlns:xm="http://schemas.microsoft.com/office/excel/2006/main">
          <x14:cfRule type="dataBar" id="{33039DB8-607B-4505-B8C4-615A4DE29E6C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AL43:AL49</xm:sqref>
        </x14:conditionalFormatting>
        <x14:conditionalFormatting xmlns:xm="http://schemas.microsoft.com/office/excel/2006/main">
          <x14:cfRule type="dataBar" id="{14C8A1F8-357F-4ED7-9EC2-EB8E218EF5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D77</xm:sqref>
        </x14:conditionalFormatting>
        <x14:conditionalFormatting xmlns:xm="http://schemas.microsoft.com/office/excel/2006/main">
          <x14:cfRule type="dataBar" id="{03461332-9D5D-43B5-84CC-D99171C365B9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W72</xm:sqref>
        </x14:conditionalFormatting>
        <x14:conditionalFormatting xmlns:xm="http://schemas.microsoft.com/office/excel/2006/main">
          <x14:cfRule type="dataBar" id="{84649551-B080-4E02-8EB3-515540DC5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R77 AF77</xm:sqref>
        </x14:conditionalFormatting>
        <x14:conditionalFormatting xmlns:xm="http://schemas.microsoft.com/office/excel/2006/main">
          <x14:cfRule type="dataBar" id="{865BC0AE-316B-4B6E-85DC-5FE6FAC6A597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AL77:AL83</xm:sqref>
        </x14:conditionalFormatting>
        <x14:conditionalFormatting xmlns:xm="http://schemas.microsoft.com/office/excel/2006/main">
          <x14:cfRule type="dataBar" id="{FFFE0A50-EAA2-4D4B-82F7-41CD1E91B3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D94</xm:sqref>
        </x14:conditionalFormatting>
        <x14:conditionalFormatting xmlns:xm="http://schemas.microsoft.com/office/excel/2006/main">
          <x14:cfRule type="dataBar" id="{40E46700-C3B5-4864-9DC7-E5C2DB06A38C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W89</xm:sqref>
        </x14:conditionalFormatting>
        <x14:conditionalFormatting xmlns:xm="http://schemas.microsoft.com/office/excel/2006/main">
          <x14:cfRule type="dataBar" id="{34861007-CCA7-4A20-AB8B-F4B5226EEC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AF94 R94</xm:sqref>
        </x14:conditionalFormatting>
        <x14:conditionalFormatting xmlns:xm="http://schemas.microsoft.com/office/excel/2006/main">
          <x14:cfRule type="dataBar" id="{3B0AE15D-EF9A-4C8F-87F0-5BFCBD84AF97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AK94:AK100</xm:sqref>
        </x14:conditionalFormatting>
        <x14:conditionalFormatting xmlns:xm="http://schemas.microsoft.com/office/excel/2006/main">
          <x14:cfRule type="dataBar" id="{2447751B-6493-478C-A4EE-1E1293762A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D111</xm:sqref>
        </x14:conditionalFormatting>
        <x14:conditionalFormatting xmlns:xm="http://schemas.microsoft.com/office/excel/2006/main">
          <x14:cfRule type="dataBar" id="{294DE55F-87DC-4DF4-B7C0-908E73C042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R111 AF111</xm:sqref>
        </x14:conditionalFormatting>
        <x14:conditionalFormatting xmlns:xm="http://schemas.microsoft.com/office/excel/2006/main">
          <x14:cfRule type="dataBar" id="{D88D88CA-72B9-4C15-BF31-55AD4C278628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W106</xm:sqref>
        </x14:conditionalFormatting>
        <x14:conditionalFormatting xmlns:xm="http://schemas.microsoft.com/office/excel/2006/main">
          <x14:cfRule type="dataBar" id="{44C0F53A-E57E-4CB8-95E9-595BDE9E395D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AL111:AL117</xm:sqref>
        </x14:conditionalFormatting>
        <x14:conditionalFormatting xmlns:xm="http://schemas.microsoft.com/office/excel/2006/main">
          <x14:cfRule type="dataBar" id="{8FC13812-A697-4DB4-8528-97FFD803D7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D128</xm:sqref>
        </x14:conditionalFormatting>
        <x14:conditionalFormatting xmlns:xm="http://schemas.microsoft.com/office/excel/2006/main">
          <x14:cfRule type="dataBar" id="{E747C6C6-37E8-4CDB-B88E-B35D0D3902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R128 AF128</xm:sqref>
        </x14:conditionalFormatting>
        <x14:conditionalFormatting xmlns:xm="http://schemas.microsoft.com/office/excel/2006/main">
          <x14:cfRule type="dataBar" id="{E9E37901-F10B-4FC1-AB6B-7EA4F8571EB6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W123</xm:sqref>
        </x14:conditionalFormatting>
        <x14:conditionalFormatting xmlns:xm="http://schemas.microsoft.com/office/excel/2006/main">
          <x14:cfRule type="dataBar" id="{9D14DD49-B05F-43D1-B0B4-F18975318C91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AL128:AL134</xm:sqref>
        </x14:conditionalFormatting>
        <x14:conditionalFormatting xmlns:xm="http://schemas.microsoft.com/office/excel/2006/main">
          <x14:cfRule type="dataBar" id="{6B1D6E76-1350-4770-9633-A2AD1B49C8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D145</xm:sqref>
        </x14:conditionalFormatting>
        <x14:conditionalFormatting xmlns:xm="http://schemas.microsoft.com/office/excel/2006/main">
          <x14:cfRule type="dataBar" id="{8F854012-4BE7-4FB9-B5E3-08A1C2F177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R145 AF145</xm:sqref>
        </x14:conditionalFormatting>
        <x14:conditionalFormatting xmlns:xm="http://schemas.microsoft.com/office/excel/2006/main">
          <x14:cfRule type="dataBar" id="{8010F52A-7C35-4019-9DCE-82FB884F6003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W140</xm:sqref>
        </x14:conditionalFormatting>
        <x14:conditionalFormatting xmlns:xm="http://schemas.microsoft.com/office/excel/2006/main">
          <x14:cfRule type="dataBar" id="{6E5B1560-DA57-4056-A579-37FEC586E947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AK145:AK151</xm:sqref>
        </x14:conditionalFormatting>
        <x14:conditionalFormatting xmlns:xm="http://schemas.microsoft.com/office/excel/2006/main">
          <x14:cfRule type="dataBar" id="{32488DEF-819D-42CD-95A0-184EC319CE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D162</xm:sqref>
        </x14:conditionalFormatting>
        <x14:conditionalFormatting xmlns:xm="http://schemas.microsoft.com/office/excel/2006/main">
          <x14:cfRule type="dataBar" id="{22C7A67F-F11E-488E-911E-801B94D5CC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 AF162</xm:sqref>
        </x14:conditionalFormatting>
        <x14:conditionalFormatting xmlns:xm="http://schemas.microsoft.com/office/excel/2006/main">
          <x14:cfRule type="dataBar" id="{0A25025F-1BF7-40B4-89D6-3236C5F2A446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W157</xm:sqref>
        </x14:conditionalFormatting>
        <x14:conditionalFormatting xmlns:xm="http://schemas.microsoft.com/office/excel/2006/main">
          <x14:cfRule type="dataBar" id="{A6628545-90AA-450E-BD81-A8BE76795BA1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AL162:AL168</xm:sqref>
        </x14:conditionalFormatting>
        <x14:conditionalFormatting xmlns:xm="http://schemas.microsoft.com/office/excel/2006/main">
          <x14:cfRule type="dataBar" id="{CC499CD4-6A8D-4832-A479-13D63CBFD3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D179</xm:sqref>
        </x14:conditionalFormatting>
        <x14:conditionalFormatting xmlns:xm="http://schemas.microsoft.com/office/excel/2006/main">
          <x14:cfRule type="dataBar" id="{0EF38000-A3F6-4F8F-B8C8-148665EB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AF179 R179</xm:sqref>
        </x14:conditionalFormatting>
        <x14:conditionalFormatting xmlns:xm="http://schemas.microsoft.com/office/excel/2006/main">
          <x14:cfRule type="dataBar" id="{3557E7E3-9F84-4DEF-A6B7-B1117605C1C5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W174</xm:sqref>
        </x14:conditionalFormatting>
        <x14:conditionalFormatting xmlns:xm="http://schemas.microsoft.com/office/excel/2006/main">
          <x14:cfRule type="dataBar" id="{06CEA10F-EF73-4124-9DB8-B0823D7375AC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AK179:AK185</xm:sqref>
        </x14:conditionalFormatting>
        <x14:conditionalFormatting xmlns:xm="http://schemas.microsoft.com/office/excel/2006/main">
          <x14:cfRule type="dataBar" id="{FFAA9E0C-03A3-42AC-9348-008403278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D196</xm:sqref>
        </x14:conditionalFormatting>
        <x14:conditionalFormatting xmlns:xm="http://schemas.microsoft.com/office/excel/2006/main">
          <x14:cfRule type="dataBar" id="{0E1F6DE0-D210-45AA-83B5-88E08C6DD32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R196 AF196</xm:sqref>
        </x14:conditionalFormatting>
        <x14:conditionalFormatting xmlns:xm="http://schemas.microsoft.com/office/excel/2006/main">
          <x14:cfRule type="dataBar" id="{8164E799-BA8B-4B26-A02D-793E6951B29E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W191</xm:sqref>
        </x14:conditionalFormatting>
        <x14:conditionalFormatting xmlns:xm="http://schemas.microsoft.com/office/excel/2006/main">
          <x14:cfRule type="dataBar" id="{ACB00CCA-5070-4231-8056-A0836F1710D8}">
            <x14:dataBar minLength="0" maxLength="100" gradient="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AL196:AL202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12</vt:i4>
      </vt:variant>
    </vt:vector>
  </HeadingPairs>
  <TitlesOfParts>
    <vt:vector size="13" baseType="lpstr">
      <vt:lpstr>Tracker</vt:lpstr>
      <vt:lpstr>APRIL2026</vt:lpstr>
      <vt:lpstr>AUGUST2026</vt:lpstr>
      <vt:lpstr>DECEMBER2026</vt:lpstr>
      <vt:lpstr>FEBRUARY2026</vt:lpstr>
      <vt:lpstr>JANUARY2026</vt:lpstr>
      <vt:lpstr>JULY2026</vt:lpstr>
      <vt:lpstr>JUNE2026</vt:lpstr>
      <vt:lpstr>MARCH2026</vt:lpstr>
      <vt:lpstr>MAY_2026</vt:lpstr>
      <vt:lpstr>NOVEMBER2026</vt:lpstr>
      <vt:lpstr>OCTOBER2026</vt:lpstr>
      <vt:lpstr>SEPTEMBER2026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Jedrek Gabison</dc:creator>
  <cp:lastModifiedBy>Liam Jedrek Gabison</cp:lastModifiedBy>
  <dcterms:created xsi:type="dcterms:W3CDTF">2026-03-05T11:01:47Z</dcterms:created>
  <dcterms:modified xsi:type="dcterms:W3CDTF">2026-03-13T07:23:59Z</dcterms:modified>
</cp:coreProperties>
</file>