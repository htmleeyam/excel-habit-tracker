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ecea47ed236db4/Documents/"/>
    </mc:Choice>
  </mc:AlternateContent>
  <xr:revisionPtr revIDLastSave="791" documentId="8_{B4A92509-3616-4288-BBE3-4F78B3E6BF80}" xr6:coauthVersionLast="47" xr6:coauthVersionMax="47" xr10:uidLastSave="{2C70CC61-5B55-4350-A0CB-FEC17AEFC4E3}"/>
  <bookViews>
    <workbookView xWindow="-120" yWindow="-120" windowWidth="29040" windowHeight="15720" xr2:uid="{2D96F968-432B-4D36-81A1-42C339CDBEC7}"/>
  </bookViews>
  <sheets>
    <sheet name="Tracker" sheetId="1" r:id="rId1"/>
  </sheets>
  <definedNames>
    <definedName name="APRIL2026">Tracker!$D$45</definedName>
    <definedName name="AUGUST2026">Tracker!$D$101</definedName>
    <definedName name="DECEMBER2026">Tracker!$D$157</definedName>
    <definedName name="FEBRUARY2026">Tracker!$D$17</definedName>
    <definedName name="JANUARY2026">Tracker!$D$3</definedName>
    <definedName name="JULY2026">Tracker!$D$87</definedName>
    <definedName name="JUNE2026">Tracker!$D$73</definedName>
    <definedName name="MARCH2026">Tracker!$D$31</definedName>
    <definedName name="MAY_2026">Tracker!$D$59</definedName>
    <definedName name="NOVEMBER2026">Tracker!$D$143</definedName>
    <definedName name="OCTOBER2026">Tracker!$D$129</definedName>
    <definedName name="SEPTEMBER2026">Tracker!$D$115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69" i="1" l="1"/>
  <c r="AL169" i="1" s="1"/>
  <c r="AJ169" i="1"/>
  <c r="AK168" i="1"/>
  <c r="AL168" i="1" s="1"/>
  <c r="AJ168" i="1"/>
  <c r="AK167" i="1"/>
  <c r="AL167" i="1" s="1"/>
  <c r="AJ167" i="1"/>
  <c r="AK166" i="1"/>
  <c r="AJ166" i="1"/>
  <c r="AK165" i="1"/>
  <c r="AL165" i="1" s="1"/>
  <c r="AJ165" i="1"/>
  <c r="AK164" i="1"/>
  <c r="AL164" i="1" s="1"/>
  <c r="AJ164" i="1"/>
  <c r="AK163" i="1"/>
  <c r="AL163" i="1" s="1"/>
  <c r="AJ163" i="1"/>
  <c r="AB158" i="1"/>
  <c r="W158" i="1"/>
  <c r="S158" i="1"/>
  <c r="N158" i="1"/>
  <c r="AI149" i="1"/>
  <c r="AJ155" i="1"/>
  <c r="AK155" i="1" s="1"/>
  <c r="AI155" i="1"/>
  <c r="AJ154" i="1"/>
  <c r="AI154" i="1"/>
  <c r="AJ153" i="1"/>
  <c r="AI153" i="1"/>
  <c r="AJ152" i="1"/>
  <c r="AI152" i="1"/>
  <c r="AJ151" i="1"/>
  <c r="AK151" i="1" s="1"/>
  <c r="AI151" i="1"/>
  <c r="AJ150" i="1"/>
  <c r="AI150" i="1"/>
  <c r="AJ149" i="1"/>
  <c r="AB144" i="1"/>
  <c r="W144" i="1"/>
  <c r="S144" i="1"/>
  <c r="N144" i="1"/>
  <c r="AK141" i="1"/>
  <c r="AL141" i="1" s="1"/>
  <c r="AJ141" i="1"/>
  <c r="AK140" i="1"/>
  <c r="AL140" i="1" s="1"/>
  <c r="AJ140" i="1"/>
  <c r="AK139" i="1"/>
  <c r="AJ139" i="1"/>
  <c r="AK138" i="1"/>
  <c r="AL138" i="1" s="1"/>
  <c r="AJ138" i="1"/>
  <c r="AK137" i="1"/>
  <c r="AL137" i="1" s="1"/>
  <c r="AJ137" i="1"/>
  <c r="AK136" i="1"/>
  <c r="AL136" i="1" s="1"/>
  <c r="AJ136" i="1"/>
  <c r="AK135" i="1"/>
  <c r="AL135" i="1" s="1"/>
  <c r="AJ135" i="1"/>
  <c r="AB130" i="1"/>
  <c r="W130" i="1"/>
  <c r="S130" i="1"/>
  <c r="N130" i="1"/>
  <c r="AI121" i="1"/>
  <c r="AJ127" i="1"/>
  <c r="AK127" i="1" s="1"/>
  <c r="AI127" i="1"/>
  <c r="AJ126" i="1"/>
  <c r="AK126" i="1" s="1"/>
  <c r="AI126" i="1"/>
  <c r="AJ125" i="1"/>
  <c r="AI125" i="1"/>
  <c r="AJ124" i="1"/>
  <c r="AI124" i="1"/>
  <c r="AJ123" i="1"/>
  <c r="AI123" i="1"/>
  <c r="AJ122" i="1"/>
  <c r="AI122" i="1"/>
  <c r="AJ121" i="1"/>
  <c r="AB116" i="1"/>
  <c r="W116" i="1"/>
  <c r="S116" i="1"/>
  <c r="N116" i="1"/>
  <c r="AI81" i="1"/>
  <c r="AI82" i="1"/>
  <c r="AI83" i="1"/>
  <c r="AI84" i="1"/>
  <c r="AI85" i="1"/>
  <c r="AI80" i="1"/>
  <c r="AI79" i="1"/>
  <c r="AI53" i="1"/>
  <c r="AI54" i="1"/>
  <c r="AI55" i="1"/>
  <c r="AI56" i="1"/>
  <c r="AI57" i="1"/>
  <c r="AI52" i="1"/>
  <c r="AI51" i="1"/>
  <c r="AJ37" i="1"/>
  <c r="AG25" i="1"/>
  <c r="AG26" i="1"/>
  <c r="AG27" i="1"/>
  <c r="AG28" i="1"/>
  <c r="AG29" i="1"/>
  <c r="AG24" i="1"/>
  <c r="AG23" i="1"/>
  <c r="AI26" i="1"/>
  <c r="AJ15" i="1"/>
  <c r="AJ14" i="1"/>
  <c r="AJ13" i="1"/>
  <c r="AJ12" i="1"/>
  <c r="AJ11" i="1"/>
  <c r="AJ10" i="1"/>
  <c r="AJ9" i="1"/>
  <c r="AJ43" i="1"/>
  <c r="AJ42" i="1"/>
  <c r="AJ41" i="1"/>
  <c r="AJ40" i="1"/>
  <c r="AJ39" i="1"/>
  <c r="AJ38" i="1"/>
  <c r="AJ71" i="1"/>
  <c r="AJ70" i="1"/>
  <c r="AJ69" i="1"/>
  <c r="AJ68" i="1"/>
  <c r="AJ67" i="1"/>
  <c r="AJ66" i="1"/>
  <c r="AJ65" i="1"/>
  <c r="AJ93" i="1"/>
  <c r="AJ99" i="1"/>
  <c r="AJ98" i="1"/>
  <c r="AJ97" i="1"/>
  <c r="AJ96" i="1"/>
  <c r="AJ95" i="1"/>
  <c r="AJ94" i="1"/>
  <c r="AB102" i="1"/>
  <c r="W102" i="1"/>
  <c r="AJ108" i="1"/>
  <c r="AJ109" i="1"/>
  <c r="AJ110" i="1"/>
  <c r="AJ111" i="1"/>
  <c r="AJ112" i="1"/>
  <c r="AJ113" i="1"/>
  <c r="AJ107" i="1"/>
  <c r="AK113" i="1"/>
  <c r="AL113" i="1" s="1"/>
  <c r="AK112" i="1"/>
  <c r="AL112" i="1" s="1"/>
  <c r="AK111" i="1"/>
  <c r="AL111" i="1" s="1"/>
  <c r="AK110" i="1"/>
  <c r="AL110" i="1" s="1"/>
  <c r="AK109" i="1"/>
  <c r="AL109" i="1" s="1"/>
  <c r="AK108" i="1"/>
  <c r="AL108" i="1" s="1"/>
  <c r="AK107" i="1"/>
  <c r="S102" i="1"/>
  <c r="N102" i="1"/>
  <c r="AK99" i="1"/>
  <c r="AL99" i="1" s="1"/>
  <c r="AK98" i="1"/>
  <c r="AK97" i="1"/>
  <c r="AL97" i="1" s="1"/>
  <c r="AK96" i="1"/>
  <c r="AK95" i="1"/>
  <c r="AL95" i="1" s="1"/>
  <c r="AK94" i="1"/>
  <c r="AK93" i="1"/>
  <c r="AB88" i="1"/>
  <c r="W88" i="1"/>
  <c r="S88" i="1"/>
  <c r="N88" i="1"/>
  <c r="AJ85" i="1"/>
  <c r="AJ84" i="1"/>
  <c r="AJ83" i="1"/>
  <c r="AJ82" i="1"/>
  <c r="AJ81" i="1"/>
  <c r="AJ80" i="1"/>
  <c r="AK80" i="1" s="1"/>
  <c r="AJ79" i="1"/>
  <c r="AB74" i="1"/>
  <c r="W74" i="1"/>
  <c r="S74" i="1"/>
  <c r="N74" i="1"/>
  <c r="AK71" i="1"/>
  <c r="AL71" i="1" s="1"/>
  <c r="AK70" i="1"/>
  <c r="AK69" i="1"/>
  <c r="AL69" i="1" s="1"/>
  <c r="AK68" i="1"/>
  <c r="AK67" i="1"/>
  <c r="AK66" i="1"/>
  <c r="AL66" i="1" s="1"/>
  <c r="AK65" i="1"/>
  <c r="AB60" i="1"/>
  <c r="W60" i="1"/>
  <c r="S60" i="1"/>
  <c r="N60" i="1"/>
  <c r="AJ57" i="1"/>
  <c r="AJ56" i="1"/>
  <c r="AJ55" i="1"/>
  <c r="AJ54" i="1"/>
  <c r="AJ53" i="1"/>
  <c r="AJ52" i="1"/>
  <c r="AJ51" i="1"/>
  <c r="AB46" i="1"/>
  <c r="W46" i="1"/>
  <c r="S46" i="1"/>
  <c r="N46" i="1"/>
  <c r="AK39" i="1"/>
  <c r="AK43" i="1"/>
  <c r="AL43" i="1" s="1"/>
  <c r="AK42" i="1"/>
  <c r="AK41" i="1"/>
  <c r="AK40" i="1"/>
  <c r="AK38" i="1"/>
  <c r="AK37" i="1"/>
  <c r="AB32" i="1"/>
  <c r="W32" i="1"/>
  <c r="S32" i="1"/>
  <c r="N32" i="1"/>
  <c r="AH29" i="1"/>
  <c r="AH28" i="1"/>
  <c r="AH27" i="1"/>
  <c r="AH26" i="1"/>
  <c r="AH25" i="1"/>
  <c r="AH24" i="1"/>
  <c r="AH23" i="1"/>
  <c r="AB18" i="1"/>
  <c r="W18" i="1"/>
  <c r="S18" i="1"/>
  <c r="N18" i="1"/>
  <c r="AB4" i="1"/>
  <c r="W4" i="1"/>
  <c r="AK10" i="1"/>
  <c r="AL10" i="1" s="1"/>
  <c r="AK11" i="1"/>
  <c r="AL11" i="1" s="1"/>
  <c r="AK12" i="1"/>
  <c r="AK13" i="1"/>
  <c r="AK14" i="1"/>
  <c r="AK15" i="1"/>
  <c r="AK9" i="1"/>
  <c r="S4" i="1"/>
  <c r="N4" i="1"/>
  <c r="AL166" i="1" l="1"/>
  <c r="AK149" i="1"/>
  <c r="AK154" i="1"/>
  <c r="AK150" i="1"/>
  <c r="AK152" i="1"/>
  <c r="AK153" i="1"/>
  <c r="AL139" i="1"/>
  <c r="AK121" i="1"/>
  <c r="AK123" i="1"/>
  <c r="AK124" i="1"/>
  <c r="AK122" i="1"/>
  <c r="AK125" i="1"/>
  <c r="AL70" i="1"/>
  <c r="AI25" i="1"/>
  <c r="AI27" i="1"/>
  <c r="AL107" i="1"/>
  <c r="AK81" i="1"/>
  <c r="AK82" i="1"/>
  <c r="AK83" i="1"/>
  <c r="AL68" i="1"/>
  <c r="AL96" i="1"/>
  <c r="AI24" i="1"/>
  <c r="AL94" i="1"/>
  <c r="AK84" i="1"/>
  <c r="AL67" i="1"/>
  <c r="AL98" i="1"/>
  <c r="AL93" i="1"/>
  <c r="AK85" i="1"/>
  <c r="AK79" i="1"/>
  <c r="AL65" i="1"/>
  <c r="AK56" i="1"/>
  <c r="AK57" i="1"/>
  <c r="AL38" i="1"/>
  <c r="AK54" i="1"/>
  <c r="AK55" i="1"/>
  <c r="AL42" i="1"/>
  <c r="AK52" i="1"/>
  <c r="AK53" i="1"/>
  <c r="AL40" i="1"/>
  <c r="AL39" i="1"/>
  <c r="AL13" i="1"/>
  <c r="AK51" i="1"/>
  <c r="AL12" i="1"/>
  <c r="AL37" i="1"/>
  <c r="AL41" i="1"/>
  <c r="AI28" i="1"/>
  <c r="AI29" i="1"/>
  <c r="AL9" i="1"/>
  <c r="AL15" i="1"/>
  <c r="AL14" i="1"/>
  <c r="AI23" i="1"/>
</calcChain>
</file>

<file path=xl/sharedStrings.xml><?xml version="1.0" encoding="utf-8"?>
<sst xmlns="http://schemas.openxmlformats.org/spreadsheetml/2006/main" count="643" uniqueCount="54">
  <si>
    <t>2026 HABIT TRACKER</t>
  </si>
  <si>
    <t>Habits</t>
  </si>
  <si>
    <t>Sa</t>
  </si>
  <si>
    <t>Su</t>
  </si>
  <si>
    <t>Mo</t>
  </si>
  <si>
    <t>Tu</t>
  </si>
  <si>
    <t>We</t>
  </si>
  <si>
    <t>Th</t>
  </si>
  <si>
    <t>Fr</t>
  </si>
  <si>
    <t>Week 1</t>
  </si>
  <si>
    <t>Week 2</t>
  </si>
  <si>
    <t>Week 3</t>
  </si>
  <si>
    <t>Week 4</t>
  </si>
  <si>
    <t>Last 3 Days</t>
  </si>
  <si>
    <t>Habit  1</t>
  </si>
  <si>
    <t>Habit 2</t>
  </si>
  <si>
    <t>Habit 3</t>
  </si>
  <si>
    <t>Habit 4</t>
  </si>
  <si>
    <t>So on…</t>
  </si>
  <si>
    <t>Habit  5</t>
  </si>
  <si>
    <t>Habit  6</t>
  </si>
  <si>
    <t>Number of Habits</t>
  </si>
  <si>
    <t>JANUARY</t>
  </si>
  <si>
    <t>Number of Habits Completed</t>
  </si>
  <si>
    <t>Analysis</t>
  </si>
  <si>
    <t>Goal</t>
  </si>
  <si>
    <t>Actual</t>
  </si>
  <si>
    <t>Progress</t>
  </si>
  <si>
    <t>Progress in %</t>
  </si>
  <si>
    <t>May</t>
  </si>
  <si>
    <t>Home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</si>
  <si>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</si>
  <si>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</si>
  <si>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</si>
  <si>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</si>
  <si>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</si>
  <si>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</si>
  <si>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</si>
  <si>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</si>
  <si>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</si>
  <si>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</si>
  <si>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</si>
  <si>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FEBRUARY</t>
  </si>
  <si>
    <t>MARCH</t>
  </si>
  <si>
    <t xml:space="preserve">We 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</si>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</sst>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36"/>
      <color theme="0"/>
      <name val="Cascadia Mono SemiBold"/>
      <family val="3"/>
    </font>
    <font>
      <sz val="8"/>
      <name val="Aptos Narrow"/>
      <family val="2"/>
      <scheme val="minor"/>
    </font>
    <font>
      <b/>
      <sz val="28"/>
      <color theme="0"/>
      <name val="Rockwell"/>
      <family val="1"/>
    </font>
    <font>
      <b/>
      <sz val="11"/>
      <color theme="0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Cascadia Mono SemiBold"/>
      <family val="3"/>
    </font>
    <font>
      <sz val="11"/>
      <color theme="0"/>
      <name val="Aharoni"/>
      <charset val="177"/>
    </font>
    <font>
      <u/>
      <sz val="11"/>
      <color theme="10"/>
      <name val="Aptos Narrow"/>
      <family val="2"/>
      <scheme val="minor"/>
    </font>
    <font>
      <b/>
      <sz val="12"/>
      <color theme="0"/>
      <name val="Aharoni"/>
      <charset val="177"/>
    </font>
    <font>
      <b/>
      <sz val="18"/>
      <color theme="1"/>
      <name val="Aptos Narrow"/>
      <family val="2"/>
      <scheme val="minor"/>
    </font>
    <font>
      <b/>
      <i/>
      <u/>
      <sz val="12"/>
      <color theme="0" tint="-4.9989318521683403E-2"/>
      <name val="Century Gothic"/>
      <family val="2"/>
    </font>
    <font>
      <b/>
      <sz val="11"/>
      <name val="Aptos Narrow"/>
      <family val="2"/>
      <scheme val="minor"/>
    </font>
    <font>
      <b/>
      <sz val="18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611111"/>
        <bgColor indexed="64"/>
      </patternFill>
    </fill>
    <fill>
      <patternFill patternType="solid">
        <fgColor rgb="FFFBD7D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390C5A"/>
        <bgColor indexed="64"/>
      </patternFill>
    </fill>
    <fill>
      <patternFill patternType="solid">
        <fgColor rgb="FF4F117D"/>
        <bgColor indexed="64"/>
      </patternFill>
    </fill>
    <fill>
      <patternFill patternType="solid">
        <fgColor rgb="FFE5CCF8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rgb="FFFFABAB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508">
    <xf numFmtId="0" fontId="0" fillId="0" borderId="0" xfId="0"/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/>
    <xf numFmtId="0" fontId="0" fillId="0" borderId="1" xfId="0" applyBorder="1" applyAlignment="1">
      <alignment horizontal="center" vertical="center"/>
    </xf>
    <xf numFmtId="10" fontId="10" fillId="0" borderId="1" xfId="0" applyNumberFormat="1" applyFont="1" applyBorder="1" applyAlignment="1">
      <alignment horizontal="center" vertical="center"/>
    </xf>
    <xf numFmtId="0" fontId="3" fillId="3" borderId="3" xfId="0" applyFont="1" applyFill="1" applyBorder="1"/>
    <xf numFmtId="0" fontId="3" fillId="3" borderId="10" xfId="0" applyFont="1" applyFill="1" applyBorder="1"/>
    <xf numFmtId="0" fontId="7" fillId="3" borderId="10" xfId="0" applyFont="1" applyFill="1" applyBorder="1" applyAlignment="1">
      <alignment horizontal="center" vertical="center"/>
    </xf>
    <xf numFmtId="0" fontId="0" fillId="3" borderId="10" xfId="0" applyFill="1" applyBorder="1"/>
    <xf numFmtId="0" fontId="3" fillId="3" borderId="11" xfId="0" applyFont="1" applyFill="1" applyBorder="1"/>
    <xf numFmtId="0" fontId="3" fillId="3" borderId="5" xfId="0" applyFont="1" applyFill="1" applyBorder="1"/>
    <xf numFmtId="0" fontId="3" fillId="3" borderId="2" xfId="0" applyFont="1" applyFill="1" applyBorder="1"/>
    <xf numFmtId="0" fontId="3" fillId="3" borderId="2" xfId="0" applyFont="1" applyFill="1" applyBorder="1" applyAlignment="1">
      <alignment horizontal="center" vertical="top"/>
    </xf>
    <xf numFmtId="0" fontId="0" fillId="3" borderId="2" xfId="0" applyFill="1" applyBorder="1"/>
    <xf numFmtId="9" fontId="3" fillId="3" borderId="2" xfId="1" applyFont="1" applyFill="1" applyBorder="1" applyAlignment="1">
      <alignment horizontal="center" vertical="center"/>
    </xf>
    <xf numFmtId="0" fontId="3" fillId="3" borderId="12" xfId="0" applyFont="1" applyFill="1" applyBorder="1"/>
    <xf numFmtId="0" fontId="11" fillId="2" borderId="0" xfId="0" applyFont="1" applyFill="1" applyAlignment="1">
      <alignment vertical="center"/>
    </xf>
    <xf numFmtId="0" fontId="12" fillId="5" borderId="0" xfId="0" applyFont="1" applyFill="1" applyAlignment="1">
      <alignment horizontal="center" vertical="center"/>
    </xf>
    <xf numFmtId="0" fontId="14" fillId="2" borderId="0" xfId="2" applyFont="1" applyFill="1" applyAlignment="1">
      <alignment horizontal="center" vertical="center"/>
    </xf>
    <xf numFmtId="0" fontId="12" fillId="5" borderId="0" xfId="2" applyFont="1" applyFill="1" applyAlignment="1">
      <alignment horizontal="center" vertical="center"/>
    </xf>
    <xf numFmtId="0" fontId="3" fillId="0" borderId="0" xfId="0" applyFont="1"/>
    <xf numFmtId="0" fontId="16" fillId="2" borderId="0" xfId="0" applyFont="1" applyFill="1" applyAlignment="1">
      <alignment horizontal="center" vertical="center"/>
    </xf>
    <xf numFmtId="0" fontId="3" fillId="7" borderId="3" xfId="0" applyFont="1" applyFill="1" applyBorder="1"/>
    <xf numFmtId="0" fontId="3" fillId="7" borderId="10" xfId="0" applyFont="1" applyFill="1" applyBorder="1"/>
    <xf numFmtId="0" fontId="7" fillId="7" borderId="10" xfId="0" applyFont="1" applyFill="1" applyBorder="1" applyAlignment="1">
      <alignment horizontal="center" vertical="center"/>
    </xf>
    <xf numFmtId="0" fontId="0" fillId="7" borderId="10" xfId="0" applyFill="1" applyBorder="1"/>
    <xf numFmtId="0" fontId="3" fillId="7" borderId="11" xfId="0" applyFont="1" applyFill="1" applyBorder="1"/>
    <xf numFmtId="0" fontId="3" fillId="7" borderId="5" xfId="0" applyFont="1" applyFill="1" applyBorder="1"/>
    <xf numFmtId="0" fontId="3" fillId="7" borderId="2" xfId="0" applyFont="1" applyFill="1" applyBorder="1"/>
    <xf numFmtId="0" fontId="3" fillId="7" borderId="2" xfId="0" applyFont="1" applyFill="1" applyBorder="1" applyAlignment="1">
      <alignment horizontal="center" vertical="top"/>
    </xf>
    <xf numFmtId="0" fontId="0" fillId="7" borderId="2" xfId="0" applyFill="1" applyBorder="1"/>
    <xf numFmtId="9" fontId="3" fillId="7" borderId="2" xfId="1" applyFont="1" applyFill="1" applyBorder="1" applyAlignment="1">
      <alignment horizontal="center" vertical="center"/>
    </xf>
    <xf numFmtId="0" fontId="3" fillId="7" borderId="12" xfId="0" applyFont="1" applyFill="1" applyBorder="1"/>
    <xf numFmtId="0" fontId="1" fillId="7" borderId="1" xfId="0" applyFont="1" applyFill="1" applyBorder="1" applyAlignment="1">
      <alignment horizontal="center"/>
    </xf>
    <xf numFmtId="0" fontId="3" fillId="7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8" borderId="1" xfId="0" applyFont="1" applyFill="1" applyBorder="1" applyAlignment="1">
      <alignment horizontal="center"/>
    </xf>
    <xf numFmtId="0" fontId="0" fillId="8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0" fillId="8" borderId="7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9" xfId="0" applyFill="1" applyBorder="1" applyAlignment="1">
      <alignment vertical="center"/>
    </xf>
    <xf numFmtId="0" fontId="3" fillId="9" borderId="3" xfId="0" applyFont="1" applyFill="1" applyBorder="1"/>
    <xf numFmtId="0" fontId="3" fillId="9" borderId="10" xfId="0" applyFont="1" applyFill="1" applyBorder="1"/>
    <xf numFmtId="0" fontId="7" fillId="9" borderId="10" xfId="0" applyFont="1" applyFill="1" applyBorder="1" applyAlignment="1">
      <alignment horizontal="center" vertical="center"/>
    </xf>
    <xf numFmtId="0" fontId="0" fillId="9" borderId="10" xfId="0" applyFill="1" applyBorder="1"/>
    <xf numFmtId="0" fontId="3" fillId="9" borderId="11" xfId="0" applyFont="1" applyFill="1" applyBorder="1"/>
    <xf numFmtId="0" fontId="3" fillId="9" borderId="5" xfId="0" applyFont="1" applyFill="1" applyBorder="1"/>
    <xf numFmtId="0" fontId="3" fillId="9" borderId="2" xfId="0" applyFont="1" applyFill="1" applyBorder="1"/>
    <xf numFmtId="0" fontId="3" fillId="9" borderId="2" xfId="0" applyFont="1" applyFill="1" applyBorder="1" applyAlignment="1">
      <alignment horizontal="center" vertical="top"/>
    </xf>
    <xf numFmtId="0" fontId="0" fillId="9" borderId="2" xfId="0" applyFill="1" applyBorder="1"/>
    <xf numFmtId="9" fontId="3" fillId="9" borderId="2" xfId="1" applyFont="1" applyFill="1" applyBorder="1" applyAlignment="1">
      <alignment horizontal="center" vertical="center"/>
    </xf>
    <xf numFmtId="0" fontId="3" fillId="9" borderId="12" xfId="0" applyFont="1" applyFill="1" applyBorder="1"/>
    <xf numFmtId="0" fontId="1" fillId="9" borderId="1" xfId="0" applyFont="1" applyFill="1" applyBorder="1" applyAlignment="1">
      <alignment horizontal="center"/>
    </xf>
    <xf numFmtId="0" fontId="3" fillId="9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7" xfId="0" applyFill="1" applyBorder="1" applyAlignment="1">
      <alignment vertical="center"/>
    </xf>
    <xf numFmtId="0" fontId="0" fillId="10" borderId="8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2" fillId="10" borderId="1" xfId="0" applyFont="1" applyFill="1" applyBorder="1" applyAlignment="1">
      <alignment horizontal="center"/>
    </xf>
    <xf numFmtId="0" fontId="0" fillId="10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11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/>
    </xf>
    <xf numFmtId="0" fontId="13" fillId="2" borderId="0" xfId="2" applyFill="1" applyAlignment="1">
      <alignment horizontal="center" vertical="center"/>
    </xf>
    <xf numFmtId="0" fontId="3" fillId="12" borderId="3" xfId="0" applyFont="1" applyFill="1" applyBorder="1"/>
    <xf numFmtId="0" fontId="3" fillId="12" borderId="10" xfId="0" applyFont="1" applyFill="1" applyBorder="1"/>
    <xf numFmtId="0" fontId="7" fillId="12" borderId="10" xfId="0" applyFont="1" applyFill="1" applyBorder="1" applyAlignment="1">
      <alignment horizontal="center" vertical="center"/>
    </xf>
    <xf numFmtId="0" fontId="0" fillId="12" borderId="10" xfId="0" applyFill="1" applyBorder="1"/>
    <xf numFmtId="0" fontId="3" fillId="12" borderId="5" xfId="0" applyFont="1" applyFill="1" applyBorder="1"/>
    <xf numFmtId="0" fontId="3" fillId="12" borderId="2" xfId="0" applyFont="1" applyFill="1" applyBorder="1"/>
    <xf numFmtId="0" fontId="3" fillId="12" borderId="2" xfId="0" applyFont="1" applyFill="1" applyBorder="1" applyAlignment="1">
      <alignment horizontal="center" vertical="top"/>
    </xf>
    <xf numFmtId="0" fontId="0" fillId="12" borderId="2" xfId="0" applyFill="1" applyBorder="1"/>
    <xf numFmtId="9" fontId="3" fillId="12" borderId="2" xfId="1" applyFont="1" applyFill="1" applyBorder="1" applyAlignment="1">
      <alignment horizontal="center" vertical="center"/>
    </xf>
    <xf numFmtId="0" fontId="10" fillId="13" borderId="7" xfId="0" applyFont="1" applyFill="1" applyBorder="1" applyAlignment="1">
      <alignment vertical="center"/>
    </xf>
    <xf numFmtId="0" fontId="10" fillId="13" borderId="8" xfId="0" applyFont="1" applyFill="1" applyBorder="1" applyAlignment="1">
      <alignment vertical="center"/>
    </xf>
    <xf numFmtId="0" fontId="10" fillId="13" borderId="9" xfId="0" applyFont="1" applyFill="1" applyBorder="1" applyAlignment="1">
      <alignment vertical="center"/>
    </xf>
    <xf numFmtId="0" fontId="17" fillId="14" borderId="1" xfId="0" applyFont="1" applyFill="1" applyBorder="1" applyAlignment="1">
      <alignment horizontal="center"/>
    </xf>
    <xf numFmtId="0" fontId="10" fillId="1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13" borderId="1" xfId="0" applyFont="1" applyFill="1" applyBorder="1" applyAlignment="1">
      <alignment horizontal="center"/>
    </xf>
    <xf numFmtId="0" fontId="10" fillId="1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14" borderId="1" xfId="0" applyFont="1" applyFill="1" applyBorder="1" applyAlignment="1">
      <alignment horizontal="center" vertical="center"/>
    </xf>
    <xf numFmtId="0" fontId="3" fillId="15" borderId="3" xfId="0" applyFont="1" applyFill="1" applyBorder="1"/>
    <xf numFmtId="0" fontId="3" fillId="15" borderId="10" xfId="0" applyFont="1" applyFill="1" applyBorder="1"/>
    <xf numFmtId="0" fontId="7" fillId="15" borderId="10" xfId="0" applyFont="1" applyFill="1" applyBorder="1" applyAlignment="1">
      <alignment horizontal="center" vertical="center"/>
    </xf>
    <xf numFmtId="0" fontId="0" fillId="15" borderId="10" xfId="0" applyFill="1" applyBorder="1"/>
    <xf numFmtId="0" fontId="3" fillId="15" borderId="11" xfId="0" applyFont="1" applyFill="1" applyBorder="1"/>
    <xf numFmtId="0" fontId="3" fillId="15" borderId="5" xfId="0" applyFont="1" applyFill="1" applyBorder="1"/>
    <xf numFmtId="0" fontId="3" fillId="15" borderId="2" xfId="0" applyFont="1" applyFill="1" applyBorder="1"/>
    <xf numFmtId="0" fontId="3" fillId="15" borderId="2" xfId="0" applyFont="1" applyFill="1" applyBorder="1" applyAlignment="1">
      <alignment horizontal="center" vertical="top"/>
    </xf>
    <xf numFmtId="0" fontId="0" fillId="15" borderId="2" xfId="0" applyFill="1" applyBorder="1"/>
    <xf numFmtId="9" fontId="3" fillId="15" borderId="2" xfId="1" applyFont="1" applyFill="1" applyBorder="1" applyAlignment="1">
      <alignment horizontal="center" vertical="center"/>
    </xf>
    <xf numFmtId="0" fontId="3" fillId="15" borderId="12" xfId="0" applyFont="1" applyFill="1" applyBorder="1"/>
    <xf numFmtId="0" fontId="10" fillId="4" borderId="7" xfId="0" applyFont="1" applyFill="1" applyBorder="1" applyAlignment="1">
      <alignment vertical="center"/>
    </xf>
    <xf numFmtId="0" fontId="10" fillId="4" borderId="8" xfId="0" applyFont="1" applyFill="1" applyBorder="1" applyAlignment="1">
      <alignment vertical="center"/>
    </xf>
    <xf numFmtId="0" fontId="10" fillId="4" borderId="9" xfId="0" applyFont="1" applyFill="1" applyBorder="1" applyAlignment="1">
      <alignment vertical="center"/>
    </xf>
    <xf numFmtId="0" fontId="17" fillId="16" borderId="1" xfId="0" applyFont="1" applyFill="1" applyBorder="1" applyAlignment="1">
      <alignment horizontal="center"/>
    </xf>
    <xf numFmtId="0" fontId="10" fillId="16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4" borderId="1" xfId="0" applyFont="1" applyFill="1" applyBorder="1" applyAlignment="1">
      <alignment horizontal="center"/>
    </xf>
    <xf numFmtId="0" fontId="10" fillId="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17" borderId="1" xfId="0" applyFont="1" applyFill="1" applyBorder="1" applyAlignment="1">
      <alignment horizontal="center" vertical="center"/>
    </xf>
    <xf numFmtId="0" fontId="3" fillId="18" borderId="3" xfId="0" applyFont="1" applyFill="1" applyBorder="1"/>
    <xf numFmtId="0" fontId="3" fillId="18" borderId="10" xfId="0" applyFont="1" applyFill="1" applyBorder="1"/>
    <xf numFmtId="0" fontId="7" fillId="18" borderId="10" xfId="0" applyFont="1" applyFill="1" applyBorder="1" applyAlignment="1">
      <alignment horizontal="center" vertical="center"/>
    </xf>
    <xf numFmtId="0" fontId="0" fillId="18" borderId="10" xfId="0" applyFill="1" applyBorder="1"/>
    <xf numFmtId="0" fontId="3" fillId="18" borderId="5" xfId="0" applyFont="1" applyFill="1" applyBorder="1"/>
    <xf numFmtId="0" fontId="3" fillId="18" borderId="2" xfId="0" applyFont="1" applyFill="1" applyBorder="1"/>
    <xf numFmtId="0" fontId="3" fillId="18" borderId="2" xfId="0" applyFont="1" applyFill="1" applyBorder="1" applyAlignment="1">
      <alignment horizontal="center" vertical="top"/>
    </xf>
    <xf numFmtId="0" fontId="0" fillId="18" borderId="2" xfId="0" applyFill="1" applyBorder="1"/>
    <xf numFmtId="9" fontId="3" fillId="18" borderId="2" xfId="1" applyFont="1" applyFill="1" applyBorder="1" applyAlignment="1">
      <alignment horizontal="center" vertical="center"/>
    </xf>
    <xf numFmtId="0" fontId="10" fillId="19" borderId="7" xfId="0" applyFont="1" applyFill="1" applyBorder="1" applyAlignment="1">
      <alignment vertical="center"/>
    </xf>
    <xf numFmtId="0" fontId="10" fillId="19" borderId="8" xfId="0" applyFont="1" applyFill="1" applyBorder="1" applyAlignment="1">
      <alignment vertical="center"/>
    </xf>
    <xf numFmtId="0" fontId="10" fillId="19" borderId="9" xfId="0" applyFont="1" applyFill="1" applyBorder="1" applyAlignment="1">
      <alignment vertical="center"/>
    </xf>
    <xf numFmtId="0" fontId="17" fillId="19" borderId="1" xfId="0" applyFont="1" applyFill="1" applyBorder="1" applyAlignment="1">
      <alignment horizontal="center"/>
    </xf>
    <xf numFmtId="0" fontId="10" fillId="19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0" borderId="1" xfId="0" applyFont="1" applyFill="1" applyBorder="1" applyAlignment="1">
      <alignment horizontal="center"/>
    </xf>
    <xf numFmtId="0" fontId="3" fillId="20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0" borderId="1" xfId="0" applyFont="1" applyFill="1" applyBorder="1" applyAlignment="1">
      <alignment horizontal="center" vertical="center"/>
    </xf>
    <xf numFmtId="0" fontId="10" fillId="21" borderId="7" xfId="0" applyFont="1" applyFill="1" applyBorder="1" applyAlignment="1">
      <alignment vertical="center"/>
    </xf>
    <xf numFmtId="0" fontId="10" fillId="21" borderId="8" xfId="0" applyFont="1" applyFill="1" applyBorder="1" applyAlignment="1">
      <alignment vertical="center"/>
    </xf>
    <xf numFmtId="0" fontId="10" fillId="21" borderId="9" xfId="0" applyFont="1" applyFill="1" applyBorder="1" applyAlignment="1">
      <alignment vertical="center"/>
    </xf>
    <xf numFmtId="0" fontId="17" fillId="22" borderId="1" xfId="0" applyFont="1" applyFill="1" applyBorder="1" applyAlignment="1">
      <alignment horizontal="center"/>
    </xf>
    <xf numFmtId="0" fontId="10" fillId="22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21" borderId="1" xfId="0" applyFont="1" applyFill="1" applyBorder="1" applyAlignment="1">
      <alignment horizontal="center"/>
    </xf>
    <xf numFmtId="0" fontId="10" fillId="21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1" xfId="0" applyFont="1" applyFill="1" applyBorder="1" applyAlignment="1">
      <alignment horizontal="center" vertical="center"/>
    </xf>
    <xf numFmtId="0" fontId="3" fillId="23" borderId="3" xfId="0" applyFont="1" applyFill="1" applyBorder="1"/>
    <xf numFmtId="0" fontId="3" fillId="23" borderId="10" xfId="0" applyFont="1" applyFill="1" applyBorder="1"/>
    <xf numFmtId="0" fontId="7" fillId="23" borderId="10" xfId="0" applyFont="1" applyFill="1" applyBorder="1" applyAlignment="1">
      <alignment horizontal="center" vertical="center"/>
    </xf>
    <xf numFmtId="0" fontId="0" fillId="23" borderId="10" xfId="0" applyFill="1" applyBorder="1"/>
    <xf numFmtId="0" fontId="3" fillId="23" borderId="11" xfId="0" applyFont="1" applyFill="1" applyBorder="1"/>
    <xf numFmtId="0" fontId="3" fillId="23" borderId="5" xfId="0" applyFont="1" applyFill="1" applyBorder="1"/>
    <xf numFmtId="0" fontId="3" fillId="23" borderId="2" xfId="0" applyFont="1" applyFill="1" applyBorder="1"/>
    <xf numFmtId="0" fontId="3" fillId="23" borderId="2" xfId="0" applyFont="1" applyFill="1" applyBorder="1" applyAlignment="1">
      <alignment horizontal="center" vertical="top"/>
    </xf>
    <xf numFmtId="0" fontId="0" fillId="23" borderId="2" xfId="0" applyFill="1" applyBorder="1"/>
    <xf numFmtId="9" fontId="3" fillId="23" borderId="2" xfId="1" applyFont="1" applyFill="1" applyBorder="1" applyAlignment="1">
      <alignment horizontal="center" vertical="center"/>
    </xf>
    <xf numFmtId="0" fontId="3" fillId="23" borderId="12" xfId="0" applyFont="1" applyFill="1" applyBorder="1"/>
    <xf numFmtId="0" fontId="3" fillId="24" borderId="3" xfId="0" applyFont="1" applyFill="1" applyBorder="1"/>
    <xf numFmtId="0" fontId="3" fillId="24" borderId="10" xfId="0" applyFont="1" applyFill="1" applyBorder="1"/>
    <xf numFmtId="0" fontId="7" fillId="24" borderId="10" xfId="0" applyFont="1" applyFill="1" applyBorder="1" applyAlignment="1">
      <alignment horizontal="center" vertical="center"/>
    </xf>
    <xf numFmtId="0" fontId="0" fillId="24" borderId="10" xfId="0" applyFill="1" applyBorder="1"/>
    <xf numFmtId="0" fontId="3" fillId="24" borderId="5" xfId="0" applyFont="1" applyFill="1" applyBorder="1"/>
    <xf numFmtId="0" fontId="3" fillId="24" borderId="2" xfId="0" applyFont="1" applyFill="1" applyBorder="1"/>
    <xf numFmtId="0" fontId="3" fillId="24" borderId="2" xfId="0" applyFont="1" applyFill="1" applyBorder="1" applyAlignment="1">
      <alignment horizontal="center" vertical="top"/>
    </xf>
    <xf numFmtId="0" fontId="0" fillId="24" borderId="2" xfId="0" applyFill="1" applyBorder="1"/>
    <xf numFmtId="9" fontId="3" fillId="24" borderId="2" xfId="1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/>
    </xf>
    <xf numFmtId="0" fontId="3" fillId="25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7" xfId="0" applyFont="1" applyFill="1" applyBorder="1" applyAlignment="1">
      <alignment vertical="center"/>
    </xf>
    <xf numFmtId="0" fontId="10" fillId="26" borderId="8" xfId="0" applyFont="1" applyFill="1" applyBorder="1" applyAlignment="1">
      <alignment vertical="center"/>
    </xf>
    <xf numFmtId="0" fontId="10" fillId="26" borderId="9" xfId="0" applyFont="1" applyFill="1" applyBorder="1" applyAlignment="1">
      <alignment vertical="center"/>
    </xf>
    <xf numFmtId="0" fontId="17" fillId="26" borderId="1" xfId="0" applyFont="1" applyFill="1" applyBorder="1" applyAlignment="1">
      <alignment horizontal="center"/>
    </xf>
    <xf numFmtId="0" fontId="10" fillId="26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4" borderId="1" xfId="0" applyFont="1" applyFill="1" applyBorder="1" applyAlignment="1">
      <alignment horizontal="center" vertical="center"/>
    </xf>
    <xf numFmtId="0" fontId="0" fillId="24" borderId="11" xfId="0" applyFill="1" applyBorder="1"/>
    <xf numFmtId="0" fontId="0" fillId="24" borderId="12" xfId="0" applyFill="1" applyBorder="1"/>
    <xf numFmtId="0" fontId="3" fillId="27" borderId="3" xfId="0" applyFont="1" applyFill="1" applyBorder="1"/>
    <xf numFmtId="0" fontId="3" fillId="27" borderId="10" xfId="0" applyFont="1" applyFill="1" applyBorder="1"/>
    <xf numFmtId="0" fontId="7" fillId="27" borderId="10" xfId="0" applyFont="1" applyFill="1" applyBorder="1" applyAlignment="1">
      <alignment horizontal="center" vertical="center"/>
    </xf>
    <xf numFmtId="0" fontId="0" fillId="27" borderId="10" xfId="0" applyFill="1" applyBorder="1"/>
    <xf numFmtId="0" fontId="3" fillId="27" borderId="5" xfId="0" applyFont="1" applyFill="1" applyBorder="1"/>
    <xf numFmtId="0" fontId="3" fillId="27" borderId="2" xfId="0" applyFont="1" applyFill="1" applyBorder="1"/>
    <xf numFmtId="0" fontId="3" fillId="27" borderId="2" xfId="0" applyFont="1" applyFill="1" applyBorder="1" applyAlignment="1">
      <alignment horizontal="center" vertical="top"/>
    </xf>
    <xf numFmtId="0" fontId="0" fillId="27" borderId="2" xfId="0" applyFill="1" applyBorder="1"/>
    <xf numFmtId="9" fontId="3" fillId="27" borderId="2" xfId="1" applyFont="1" applyFill="1" applyBorder="1" applyAlignment="1">
      <alignment horizontal="center" vertical="center"/>
    </xf>
    <xf numFmtId="0" fontId="3" fillId="27" borderId="7" xfId="0" applyFont="1" applyFill="1" applyBorder="1" applyAlignment="1">
      <alignment vertical="center"/>
    </xf>
    <xf numFmtId="0" fontId="3" fillId="27" borderId="8" xfId="0" applyFont="1" applyFill="1" applyBorder="1" applyAlignment="1">
      <alignment vertical="center"/>
    </xf>
    <xf numFmtId="0" fontId="3" fillId="27" borderId="9" xfId="0" applyFont="1" applyFill="1" applyBorder="1" applyAlignment="1">
      <alignment vertical="center"/>
    </xf>
    <xf numFmtId="0" fontId="1" fillId="27" borderId="1" xfId="0" applyFont="1" applyFill="1" applyBorder="1" applyAlignment="1">
      <alignment horizontal="center"/>
    </xf>
    <xf numFmtId="0" fontId="3" fillId="27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28" borderId="1" xfId="0" applyFont="1" applyFill="1" applyBorder="1" applyAlignment="1">
      <alignment horizontal="center"/>
    </xf>
    <xf numFmtId="0" fontId="10" fillId="28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28" borderId="1" xfId="0" applyFont="1" applyFill="1" applyBorder="1" applyAlignment="1">
      <alignment horizontal="center" vertical="center"/>
    </xf>
    <xf numFmtId="0" fontId="3" fillId="30" borderId="3" xfId="0" applyFont="1" applyFill="1" applyBorder="1"/>
    <xf numFmtId="0" fontId="3" fillId="30" borderId="10" xfId="0" applyFont="1" applyFill="1" applyBorder="1"/>
    <xf numFmtId="0" fontId="7" fillId="30" borderId="10" xfId="0" applyFont="1" applyFill="1" applyBorder="1" applyAlignment="1">
      <alignment horizontal="center" vertical="center"/>
    </xf>
    <xf numFmtId="0" fontId="0" fillId="30" borderId="10" xfId="0" applyFill="1" applyBorder="1"/>
    <xf numFmtId="0" fontId="0" fillId="30" borderId="11" xfId="0" applyFill="1" applyBorder="1"/>
    <xf numFmtId="0" fontId="3" fillId="30" borderId="5" xfId="0" applyFont="1" applyFill="1" applyBorder="1"/>
    <xf numFmtId="0" fontId="3" fillId="30" borderId="2" xfId="0" applyFont="1" applyFill="1" applyBorder="1"/>
    <xf numFmtId="0" fontId="3" fillId="30" borderId="2" xfId="0" applyFont="1" applyFill="1" applyBorder="1" applyAlignment="1">
      <alignment horizontal="center" vertical="top"/>
    </xf>
    <xf numFmtId="0" fontId="0" fillId="30" borderId="2" xfId="0" applyFill="1" applyBorder="1"/>
    <xf numFmtId="9" fontId="3" fillId="30" borderId="2" xfId="1" applyFont="1" applyFill="1" applyBorder="1" applyAlignment="1">
      <alignment horizontal="center" vertical="center"/>
    </xf>
    <xf numFmtId="0" fontId="0" fillId="30" borderId="12" xfId="0" applyFill="1" applyBorder="1"/>
    <xf numFmtId="0" fontId="1" fillId="30" borderId="1" xfId="0" applyFont="1" applyFill="1" applyBorder="1" applyAlignment="1">
      <alignment horizontal="center"/>
    </xf>
    <xf numFmtId="0" fontId="3" fillId="30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7" xfId="0" applyFont="1" applyFill="1" applyBorder="1" applyAlignment="1">
      <alignment vertical="center"/>
    </xf>
    <xf numFmtId="0" fontId="10" fillId="31" borderId="8" xfId="0" applyFont="1" applyFill="1" applyBorder="1" applyAlignment="1">
      <alignment vertical="center"/>
    </xf>
    <xf numFmtId="0" fontId="10" fillId="31" borderId="9" xfId="0" applyFont="1" applyFill="1" applyBorder="1" applyAlignment="1">
      <alignment vertical="center"/>
    </xf>
    <xf numFmtId="0" fontId="17" fillId="31" borderId="1" xfId="0" applyFont="1" applyFill="1" applyBorder="1" applyAlignment="1">
      <alignment horizontal="center"/>
    </xf>
    <xf numFmtId="0" fontId="10" fillId="31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9" borderId="1" xfId="0" applyFont="1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/>
    </xf>
    <xf numFmtId="0" fontId="9" fillId="30" borderId="1" xfId="0" applyFont="1" applyFill="1" applyBorder="1" applyAlignment="1">
      <alignment horizontal="center" vertical="center"/>
    </xf>
    <xf numFmtId="0" fontId="6" fillId="30" borderId="10" xfId="0" applyFont="1" applyFill="1" applyBorder="1" applyAlignment="1">
      <alignment horizontal="center" vertical="center"/>
    </xf>
    <xf numFmtId="0" fontId="6" fillId="30" borderId="2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horizontal="center" vertical="center"/>
    </xf>
    <xf numFmtId="0" fontId="18" fillId="31" borderId="1" xfId="0" applyFont="1" applyFill="1" applyBorder="1" applyAlignment="1">
      <alignment horizontal="center" vertical="center"/>
    </xf>
    <xf numFmtId="0" fontId="17" fillId="31" borderId="1" xfId="0" applyFont="1" applyFill="1" applyBorder="1" applyAlignment="1">
      <alignment horizontal="center"/>
    </xf>
    <xf numFmtId="0" fontId="17" fillId="28" borderId="1" xfId="0" applyFont="1" applyFill="1" applyBorder="1" applyAlignment="1">
      <alignment horizontal="center"/>
    </xf>
    <xf numFmtId="0" fontId="9" fillId="27" borderId="1" xfId="0" applyFont="1" applyFill="1" applyBorder="1" applyAlignment="1">
      <alignment horizontal="center" vertical="center"/>
    </xf>
    <xf numFmtId="0" fontId="19" fillId="27" borderId="1" xfId="0" applyFont="1" applyFill="1" applyBorder="1" applyAlignment="1">
      <alignment horizontal="center" vertical="center"/>
    </xf>
    <xf numFmtId="0" fontId="1" fillId="27" borderId="1" xfId="0" applyFont="1" applyFill="1" applyBorder="1" applyAlignment="1">
      <alignment horizontal="center"/>
    </xf>
    <xf numFmtId="0" fontId="9" fillId="25" borderId="1" xfId="0" applyFont="1" applyFill="1" applyBorder="1" applyAlignment="1">
      <alignment horizontal="center" vertical="center"/>
    </xf>
    <xf numFmtId="0" fontId="1" fillId="25" borderId="4" xfId="0" applyFont="1" applyFill="1" applyBorder="1" applyAlignment="1">
      <alignment horizontal="center"/>
    </xf>
    <xf numFmtId="0" fontId="1" fillId="25" borderId="0" xfId="0" applyFont="1" applyFill="1" applyAlignment="1">
      <alignment horizontal="center"/>
    </xf>
    <xf numFmtId="0" fontId="6" fillId="27" borderId="10" xfId="0" applyFont="1" applyFill="1" applyBorder="1" applyAlignment="1">
      <alignment horizontal="center" vertical="center"/>
    </xf>
    <xf numFmtId="0" fontId="6" fillId="27" borderId="2" xfId="0" applyFont="1" applyFill="1" applyBorder="1" applyAlignment="1">
      <alignment horizontal="center" vertical="center"/>
    </xf>
    <xf numFmtId="0" fontId="3" fillId="27" borderId="2" xfId="0" applyFont="1" applyFill="1" applyBorder="1" applyAlignment="1">
      <alignment horizontal="center" vertical="center"/>
    </xf>
    <xf numFmtId="0" fontId="6" fillId="24" borderId="10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3" fillId="24" borderId="2" xfId="0" applyFont="1" applyFill="1" applyBorder="1" applyAlignment="1">
      <alignment horizontal="center" vertical="center"/>
    </xf>
    <xf numFmtId="0" fontId="18" fillId="26" borderId="1" xfId="0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/>
    </xf>
    <xf numFmtId="0" fontId="17" fillId="26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5" fillId="8" borderId="9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2" fillId="8" borderId="13" xfId="0" applyFont="1" applyFill="1" applyBorder="1" applyAlignment="1">
      <alignment horizontal="center"/>
    </xf>
    <xf numFmtId="0" fontId="2" fillId="8" borderId="15" xfId="0" applyFont="1" applyFill="1" applyBorder="1" applyAlignment="1">
      <alignment horizontal="center"/>
    </xf>
    <xf numFmtId="0" fontId="2" fillId="8" borderId="14" xfId="0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 vertical="center"/>
    </xf>
    <xf numFmtId="0" fontId="6" fillId="9" borderId="10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8" fillId="13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9" fillId="12" borderId="1" xfId="0" applyFont="1" applyFill="1" applyBorder="1" applyAlignment="1">
      <alignment horizontal="center" vertical="center"/>
    </xf>
    <xf numFmtId="0" fontId="6" fillId="15" borderId="10" xfId="0" applyFont="1" applyFill="1" applyBorder="1" applyAlignment="1">
      <alignment horizontal="center" vertical="center"/>
    </xf>
    <xf numFmtId="0" fontId="6" fillId="15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/>
    </xf>
    <xf numFmtId="0" fontId="9" fillId="15" borderId="1" xfId="0" applyFont="1" applyFill="1" applyBorder="1" applyAlignment="1">
      <alignment horizontal="center" vertical="center"/>
    </xf>
    <xf numFmtId="0" fontId="6" fillId="18" borderId="10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" fillId="20" borderId="1" xfId="0" applyFont="1" applyFill="1" applyBorder="1" applyAlignment="1">
      <alignment horizontal="center"/>
    </xf>
    <xf numFmtId="0" fontId="17" fillId="19" borderId="1" xfId="0" applyFont="1" applyFill="1" applyBorder="1" applyAlignment="1">
      <alignment horizontal="center"/>
    </xf>
    <xf numFmtId="0" fontId="9" fillId="18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/>
    </xf>
    <xf numFmtId="0" fontId="17" fillId="4" borderId="15" xfId="0" applyFont="1" applyFill="1" applyBorder="1" applyAlignment="1">
      <alignment horizontal="center"/>
    </xf>
    <xf numFmtId="0" fontId="17" fillId="4" borderId="14" xfId="0" applyFont="1" applyFill="1" applyBorder="1" applyAlignment="1">
      <alignment horizontal="center"/>
    </xf>
    <xf numFmtId="0" fontId="17" fillId="22" borderId="1" xfId="0" applyFont="1" applyFill="1" applyBorder="1" applyAlignment="1">
      <alignment horizontal="center"/>
    </xf>
    <xf numFmtId="0" fontId="9" fillId="23" borderId="1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23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0" fontId="18" fillId="21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/>
    </xf>
    <xf numFmtId="0" fontId="3" fillId="32" borderId="3" xfId="0" applyFont="1" applyFill="1" applyBorder="1"/>
    <xf numFmtId="0" fontId="6" fillId="32" borderId="10" xfId="0" applyFont="1" applyFill="1" applyBorder="1" applyAlignment="1">
      <alignment horizontal="center" vertical="center"/>
    </xf>
    <xf numFmtId="0" fontId="3" fillId="32" borderId="10" xfId="0" applyFont="1" applyFill="1" applyBorder="1"/>
    <xf numFmtId="0" fontId="7" fillId="32" borderId="10" xfId="0" applyFont="1" applyFill="1" applyBorder="1" applyAlignment="1">
      <alignment horizontal="center" vertical="center"/>
    </xf>
    <xf numFmtId="0" fontId="0" fillId="32" borderId="10" xfId="0" applyFill="1" applyBorder="1"/>
    <xf numFmtId="0" fontId="3" fillId="32" borderId="5" xfId="0" applyFont="1" applyFill="1" applyBorder="1"/>
    <xf numFmtId="0" fontId="6" fillId="32" borderId="2" xfId="0" applyFont="1" applyFill="1" applyBorder="1" applyAlignment="1">
      <alignment horizontal="center" vertical="center"/>
    </xf>
    <xf numFmtId="0" fontId="3" fillId="32" borderId="2" xfId="0" applyFont="1" applyFill="1" applyBorder="1"/>
    <xf numFmtId="0" fontId="3" fillId="32" borderId="2" xfId="0" applyFont="1" applyFill="1" applyBorder="1" applyAlignment="1">
      <alignment horizontal="center" vertical="top"/>
    </xf>
    <xf numFmtId="0" fontId="0" fillId="32" borderId="2" xfId="0" applyFill="1" applyBorder="1"/>
    <xf numFmtId="0" fontId="3" fillId="32" borderId="2" xfId="0" applyFont="1" applyFill="1" applyBorder="1" applyAlignment="1">
      <alignment horizontal="center" vertical="center"/>
    </xf>
    <xf numFmtId="9" fontId="3" fillId="32" borderId="2" xfId="1" applyFont="1" applyFill="1" applyBorder="1" applyAlignment="1">
      <alignment horizontal="center" vertical="center"/>
    </xf>
    <xf numFmtId="0" fontId="19" fillId="32" borderId="1" xfId="0" applyFont="1" applyFill="1" applyBorder="1" applyAlignment="1">
      <alignment horizontal="center" vertical="center"/>
    </xf>
    <xf numFmtId="0" fontId="3" fillId="32" borderId="7" xfId="0" applyFont="1" applyFill="1" applyBorder="1" applyAlignment="1">
      <alignment vertical="center"/>
    </xf>
    <xf numFmtId="0" fontId="3" fillId="32" borderId="8" xfId="0" applyFont="1" applyFill="1" applyBorder="1" applyAlignment="1">
      <alignment vertical="center"/>
    </xf>
    <xf numFmtId="0" fontId="3" fillId="32" borderId="9" xfId="0" applyFont="1" applyFill="1" applyBorder="1" applyAlignment="1">
      <alignment vertical="center"/>
    </xf>
    <xf numFmtId="0" fontId="1" fillId="32" borderId="1" xfId="0" applyFont="1" applyFill="1" applyBorder="1" applyAlignment="1">
      <alignment horizontal="center"/>
    </xf>
    <xf numFmtId="0" fontId="1" fillId="32" borderId="1" xfId="0" applyFont="1" applyFill="1" applyBorder="1" applyAlignment="1">
      <alignment horizontal="center"/>
    </xf>
    <xf numFmtId="0" fontId="3" fillId="32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32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/>
    </xf>
    <xf numFmtId="0" fontId="3" fillId="33" borderId="3" xfId="0" applyFont="1" applyFill="1" applyBorder="1"/>
    <xf numFmtId="0" fontId="6" fillId="33" borderId="10" xfId="0" applyFont="1" applyFill="1" applyBorder="1" applyAlignment="1">
      <alignment horizontal="center" vertical="center"/>
    </xf>
    <xf numFmtId="0" fontId="3" fillId="33" borderId="10" xfId="0" applyFont="1" applyFill="1" applyBorder="1"/>
    <xf numFmtId="0" fontId="7" fillId="33" borderId="10" xfId="0" applyFont="1" applyFill="1" applyBorder="1" applyAlignment="1">
      <alignment horizontal="center" vertical="center"/>
    </xf>
    <xf numFmtId="0" fontId="0" fillId="33" borderId="10" xfId="0" applyFill="1" applyBorder="1"/>
    <xf numFmtId="0" fontId="0" fillId="33" borderId="11" xfId="0" applyFill="1" applyBorder="1"/>
    <xf numFmtId="0" fontId="3" fillId="33" borderId="5" xfId="0" applyFont="1" applyFill="1" applyBorder="1"/>
    <xf numFmtId="0" fontId="6" fillId="33" borderId="2" xfId="0" applyFont="1" applyFill="1" applyBorder="1" applyAlignment="1">
      <alignment horizontal="center" vertical="center"/>
    </xf>
    <xf numFmtId="0" fontId="3" fillId="33" borderId="2" xfId="0" applyFont="1" applyFill="1" applyBorder="1"/>
    <xf numFmtId="0" fontId="3" fillId="33" borderId="2" xfId="0" applyFont="1" applyFill="1" applyBorder="1" applyAlignment="1">
      <alignment horizontal="center" vertical="top"/>
    </xf>
    <xf numFmtId="0" fontId="0" fillId="33" borderId="2" xfId="0" applyFill="1" applyBorder="1"/>
    <xf numFmtId="0" fontId="3" fillId="33" borderId="2" xfId="0" applyFont="1" applyFill="1" applyBorder="1" applyAlignment="1">
      <alignment horizontal="center" vertical="center"/>
    </xf>
    <xf numFmtId="9" fontId="3" fillId="33" borderId="2" xfId="1" applyFont="1" applyFill="1" applyBorder="1" applyAlignment="1">
      <alignment horizontal="center" vertical="center"/>
    </xf>
    <xf numFmtId="0" fontId="0" fillId="33" borderId="12" xfId="0" applyFill="1" applyBorder="1"/>
    <xf numFmtId="0" fontId="1" fillId="33" borderId="1" xfId="0" applyFont="1" applyFill="1" applyBorder="1" applyAlignment="1">
      <alignment horizontal="center"/>
    </xf>
    <xf numFmtId="0" fontId="1" fillId="33" borderId="1" xfId="0" applyFont="1" applyFill="1" applyBorder="1" applyAlignment="1">
      <alignment horizontal="center"/>
    </xf>
    <xf numFmtId="0" fontId="3" fillId="3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34" borderId="1" xfId="0" applyFont="1" applyFill="1" applyBorder="1" applyAlignment="1">
      <alignment horizontal="center" vertical="center"/>
    </xf>
    <xf numFmtId="0" fontId="10" fillId="34" borderId="7" xfId="0" applyFont="1" applyFill="1" applyBorder="1" applyAlignment="1">
      <alignment vertical="center"/>
    </xf>
    <xf numFmtId="0" fontId="10" fillId="34" borderId="8" xfId="0" applyFont="1" applyFill="1" applyBorder="1" applyAlignment="1">
      <alignment vertical="center"/>
    </xf>
    <xf numFmtId="0" fontId="10" fillId="34" borderId="9" xfId="0" applyFont="1" applyFill="1" applyBorder="1" applyAlignment="1">
      <alignment vertical="center"/>
    </xf>
    <xf numFmtId="0" fontId="17" fillId="34" borderId="1" xfId="0" applyFont="1" applyFill="1" applyBorder="1" applyAlignment="1">
      <alignment horizontal="center"/>
    </xf>
    <xf numFmtId="0" fontId="17" fillId="34" borderId="1" xfId="0" applyFont="1" applyFill="1" applyBorder="1" applyAlignment="1">
      <alignment horizontal="center"/>
    </xf>
    <xf numFmtId="0" fontId="10" fillId="3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33" borderId="1" xfId="0" applyFont="1" applyFill="1" applyBorder="1" applyAlignment="1">
      <alignment horizontal="center" vertical="center"/>
    </xf>
    <xf numFmtId="0" fontId="17" fillId="34" borderId="1" xfId="0" applyFon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ABAB"/>
      <color rgb="FFA50021"/>
      <color rgb="FF99CC00"/>
      <color rgb="FF008000"/>
      <color rgb="FF003300"/>
      <color rgb="FF009900"/>
      <color rgb="FFCCFFFF"/>
      <color rgb="FF006666"/>
      <color rgb="FFFFCCFF"/>
      <color rgb="FF601A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375-0F2F-4F06-9FDB-7B5BD7FAF4A3}">
  <dimension ref="A1:AM169"/>
  <sheetViews>
    <sheetView showGridLines="0" tabSelected="1" workbookViewId="0">
      <pane xSplit="1" ySplit="1" topLeftCell="B47" activePane="bottomRight" state="frozen"/>
      <selection pane="topRight" activeCell="B1" sqref="B1"/>
      <selection pane="bottomLeft" activeCell="A2" sqref="A2"/>
      <selection pane="bottomRight" activeCell="B47" sqref="B47"/>
    </sheetView>
  </sheetViews>
  <sheetFormatPr defaultRowHeight="22.5" customHeight="1" x14ac:dyDescent="0.25"/>
  <cols>
    <col min="1" max="1" width="12" style="22" customWidth="1"/>
    <col min="3" max="3" width="19.42578125" customWidth="1"/>
    <col min="4" max="34" width="6.7109375" customWidth="1"/>
    <col min="38" max="38" width="12.28515625" customWidth="1"/>
  </cols>
  <sheetData>
    <row r="1" spans="1:39" s="3" customFormat="1" ht="51" x14ac:dyDescent="0.25">
      <c r="A1" s="38" t="s">
        <v>30</v>
      </c>
      <c r="B1" s="3" t="s">
        <v>0</v>
      </c>
      <c r="L1" s="41" t="s">
        <v>31</v>
      </c>
      <c r="M1" s="41" t="s">
        <v>32</v>
      </c>
      <c r="N1" s="41" t="s">
        <v>33</v>
      </c>
      <c r="O1" s="41" t="s">
        <v>34</v>
      </c>
      <c r="P1" s="41" t="s">
        <v>29</v>
      </c>
      <c r="Q1" s="41" t="s">
        <v>35</v>
      </c>
      <c r="R1" s="41" t="s">
        <v>36</v>
      </c>
      <c r="S1" s="41" t="s">
        <v>37</v>
      </c>
      <c r="T1" s="41" t="s">
        <v>38</v>
      </c>
      <c r="U1" s="41" t="s">
        <v>39</v>
      </c>
      <c r="V1" s="41" t="s">
        <v>40</v>
      </c>
      <c r="W1" s="41" t="s">
        <v>41</v>
      </c>
      <c r="X1" s="36"/>
      <c r="Y1" s="117"/>
      <c r="AM1" s="41" t="s">
        <v>41</v>
      </c>
    </row>
    <row r="2" spans="1:39" ht="15" x14ac:dyDescent="0.25"/>
    <row r="3" spans="1:39" ht="22.5" customHeight="1" x14ac:dyDescent="0.25">
      <c r="A3" s="39"/>
      <c r="C3" s="25"/>
      <c r="D3" s="401" t="s">
        <v>22</v>
      </c>
      <c r="E3" s="401"/>
      <c r="F3" s="401"/>
      <c r="G3" s="401"/>
      <c r="H3" s="401"/>
      <c r="I3" s="401"/>
      <c r="J3" s="401"/>
      <c r="K3" s="26"/>
      <c r="L3" s="26"/>
      <c r="M3" s="26"/>
      <c r="N3" s="27" t="s">
        <v>21</v>
      </c>
      <c r="O3" s="26"/>
      <c r="P3" s="26"/>
      <c r="Q3" s="26"/>
      <c r="R3" s="26"/>
      <c r="S3" s="27" t="s">
        <v>23</v>
      </c>
      <c r="T3" s="26"/>
      <c r="U3" s="28"/>
      <c r="V3" s="26"/>
      <c r="W3" s="26"/>
      <c r="X3" s="27" t="s">
        <v>27</v>
      </c>
      <c r="Y3" s="26"/>
      <c r="Z3" s="26"/>
      <c r="AA3" s="26"/>
      <c r="AB3" s="27" t="s">
        <v>28</v>
      </c>
      <c r="AC3" s="26"/>
      <c r="AD3" s="26"/>
      <c r="AE3" s="26"/>
      <c r="AF3" s="26"/>
      <c r="AG3" s="26"/>
      <c r="AH3" s="29"/>
    </row>
    <row r="4" spans="1:39" ht="22.5" customHeight="1" x14ac:dyDescent="0.25">
      <c r="A4" s="37"/>
      <c r="C4" s="30"/>
      <c r="D4" s="402"/>
      <c r="E4" s="402"/>
      <c r="F4" s="402"/>
      <c r="G4" s="402"/>
      <c r="H4" s="402"/>
      <c r="I4" s="402"/>
      <c r="J4" s="402"/>
      <c r="K4" s="31"/>
      <c r="L4" s="31"/>
      <c r="M4" s="31"/>
      <c r="N4" s="32">
        <f>COUNTA(C9:C15)</f>
        <v>7</v>
      </c>
      <c r="O4" s="31"/>
      <c r="P4" s="31"/>
      <c r="Q4" s="31"/>
      <c r="R4" s="31"/>
      <c r="S4" s="32">
        <f>COUNTIF(D9:AH15,TRUE)</f>
        <v>0</v>
      </c>
      <c r="T4" s="31"/>
      <c r="U4" s="33"/>
      <c r="V4" s="31"/>
      <c r="W4" s="404">
        <f>COUNTIF(D9:AH15, TRUE)/(COUNTA(D8:AH8)*COUNTA(C9:C15))</f>
        <v>0</v>
      </c>
      <c r="X4" s="404"/>
      <c r="Y4" s="404"/>
      <c r="Z4" s="31"/>
      <c r="AA4" s="31"/>
      <c r="AB4" s="34">
        <f>COUNTIF(D9:AH15, TRUE)/(COUNTA(D8:AH8)*COUNTA(C9:C15))</f>
        <v>0</v>
      </c>
      <c r="AC4" s="31"/>
      <c r="AD4" s="31"/>
      <c r="AE4" s="31"/>
      <c r="AF4" s="31"/>
      <c r="AG4" s="31"/>
      <c r="AH4" s="35"/>
    </row>
    <row r="5" spans="1:39" ht="22.5" customHeight="1" x14ac:dyDescent="0.25">
      <c r="A5" s="37"/>
    </row>
    <row r="6" spans="1:39" ht="22.5" customHeight="1" x14ac:dyDescent="0.25">
      <c r="A6" s="37"/>
      <c r="C6" s="400" t="s">
        <v>1</v>
      </c>
      <c r="D6" s="405" t="s">
        <v>9</v>
      </c>
      <c r="E6" s="405"/>
      <c r="F6" s="405"/>
      <c r="G6" s="405"/>
      <c r="H6" s="405"/>
      <c r="I6" s="405"/>
      <c r="J6" s="405"/>
      <c r="K6" s="406" t="s">
        <v>10</v>
      </c>
      <c r="L6" s="406"/>
      <c r="M6" s="406"/>
      <c r="N6" s="406"/>
      <c r="O6" s="406"/>
      <c r="P6" s="406"/>
      <c r="Q6" s="406"/>
      <c r="R6" s="405" t="s">
        <v>11</v>
      </c>
      <c r="S6" s="405"/>
      <c r="T6" s="405"/>
      <c r="U6" s="405"/>
      <c r="V6" s="405"/>
      <c r="W6" s="405"/>
      <c r="X6" s="405"/>
      <c r="Y6" s="406" t="s">
        <v>12</v>
      </c>
      <c r="Z6" s="406"/>
      <c r="AA6" s="406"/>
      <c r="AB6" s="406"/>
      <c r="AC6" s="406"/>
      <c r="AD6" s="406"/>
      <c r="AE6" s="406"/>
      <c r="AF6" s="405" t="s">
        <v>13</v>
      </c>
      <c r="AG6" s="405"/>
      <c r="AH6" s="405"/>
      <c r="AJ6" s="403" t="s">
        <v>24</v>
      </c>
      <c r="AK6" s="403"/>
      <c r="AL6" s="403"/>
    </row>
    <row r="7" spans="1:39" ht="22.5" customHeight="1" x14ac:dyDescent="0.25">
      <c r="A7" s="37"/>
      <c r="C7" s="400"/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2" t="s">
        <v>2</v>
      </c>
      <c r="L7" s="2" t="s">
        <v>3</v>
      </c>
      <c r="M7" s="2" t="s">
        <v>4</v>
      </c>
      <c r="N7" s="2" t="s">
        <v>5</v>
      </c>
      <c r="O7" s="2" t="s">
        <v>6</v>
      </c>
      <c r="P7" s="2" t="s">
        <v>7</v>
      </c>
      <c r="Q7" s="2" t="s">
        <v>8</v>
      </c>
      <c r="R7" s="1" t="s">
        <v>2</v>
      </c>
      <c r="S7" s="1" t="s">
        <v>3</v>
      </c>
      <c r="T7" s="1" t="s">
        <v>4</v>
      </c>
      <c r="U7" s="1" t="s">
        <v>5</v>
      </c>
      <c r="V7" s="1" t="s">
        <v>6</v>
      </c>
      <c r="W7" s="1" t="s">
        <v>7</v>
      </c>
      <c r="X7" s="1" t="s">
        <v>8</v>
      </c>
      <c r="Y7" s="2" t="s">
        <v>2</v>
      </c>
      <c r="Z7" s="2" t="s">
        <v>3</v>
      </c>
      <c r="AA7" s="2" t="s">
        <v>4</v>
      </c>
      <c r="AB7" s="2" t="s">
        <v>5</v>
      </c>
      <c r="AC7" s="2" t="s">
        <v>6</v>
      </c>
      <c r="AD7" s="2" t="s">
        <v>7</v>
      </c>
      <c r="AE7" s="2" t="s">
        <v>8</v>
      </c>
      <c r="AF7" s="1" t="s">
        <v>2</v>
      </c>
      <c r="AG7" s="1" t="s">
        <v>3</v>
      </c>
      <c r="AH7" s="1" t="s">
        <v>4</v>
      </c>
      <c r="AJ7" s="403"/>
      <c r="AK7" s="403"/>
      <c r="AL7" s="403"/>
    </row>
    <row r="8" spans="1:39" ht="22.5" customHeight="1" x14ac:dyDescent="0.25">
      <c r="A8" s="37"/>
      <c r="C8" s="400"/>
      <c r="D8" s="1">
        <v>1</v>
      </c>
      <c r="E8" s="1">
        <v>2</v>
      </c>
      <c r="F8" s="1">
        <v>3</v>
      </c>
      <c r="G8" s="1">
        <v>4</v>
      </c>
      <c r="H8" s="1">
        <v>5</v>
      </c>
      <c r="I8" s="1">
        <v>6</v>
      </c>
      <c r="J8" s="1">
        <v>7</v>
      </c>
      <c r="K8" s="2">
        <v>8</v>
      </c>
      <c r="L8" s="2">
        <v>9</v>
      </c>
      <c r="M8" s="2">
        <v>10</v>
      </c>
      <c r="N8" s="2">
        <v>11</v>
      </c>
      <c r="O8" s="2">
        <v>12</v>
      </c>
      <c r="P8" s="2">
        <v>13</v>
      </c>
      <c r="Q8" s="2">
        <v>14</v>
      </c>
      <c r="R8" s="1">
        <v>15</v>
      </c>
      <c r="S8" s="1">
        <v>16</v>
      </c>
      <c r="T8" s="1">
        <v>17</v>
      </c>
      <c r="U8" s="1">
        <v>18</v>
      </c>
      <c r="V8" s="1">
        <v>19</v>
      </c>
      <c r="W8" s="1">
        <v>20</v>
      </c>
      <c r="X8" s="1">
        <v>21</v>
      </c>
      <c r="Y8" s="2">
        <v>22</v>
      </c>
      <c r="Z8" s="2">
        <v>23</v>
      </c>
      <c r="AA8" s="2">
        <v>24</v>
      </c>
      <c r="AB8" s="2">
        <v>25</v>
      </c>
      <c r="AC8" s="2">
        <v>26</v>
      </c>
      <c r="AD8" s="2">
        <v>27</v>
      </c>
      <c r="AE8" s="2">
        <v>28</v>
      </c>
      <c r="AF8" s="1">
        <v>29</v>
      </c>
      <c r="AG8" s="1">
        <v>30</v>
      </c>
      <c r="AH8" s="1">
        <v>31</v>
      </c>
      <c r="AJ8" s="73" t="s">
        <v>25</v>
      </c>
      <c r="AK8" s="73" t="s">
        <v>26</v>
      </c>
      <c r="AL8" s="73" t="s">
        <v>27</v>
      </c>
    </row>
    <row r="9" spans="1:39" ht="22.5" customHeight="1" x14ac:dyDescent="0.25">
      <c r="A9" s="37"/>
      <c r="C9" s="75" t="s">
        <v>14</v>
      </c>
      <c r="D9" s="5" t="b">
        <v>0</v>
      </c>
      <c r="E9" s="6" t="b">
        <v>0</v>
      </c>
      <c r="F9" s="6" t="b">
        <v>0</v>
      </c>
      <c r="G9" s="6" t="b">
        <v>0</v>
      </c>
      <c r="H9" s="6" t="b">
        <v>0</v>
      </c>
      <c r="I9" s="6" t="b">
        <v>0</v>
      </c>
      <c r="J9" s="7" t="b">
        <v>0</v>
      </c>
      <c r="K9" s="13" t="b">
        <v>0</v>
      </c>
      <c r="L9" s="14" t="b">
        <v>0</v>
      </c>
      <c r="M9" s="14" t="b">
        <v>0</v>
      </c>
      <c r="N9" s="14" t="b">
        <v>0</v>
      </c>
      <c r="O9" s="14" t="b">
        <v>0</v>
      </c>
      <c r="P9" s="14" t="b">
        <v>0</v>
      </c>
      <c r="Q9" s="15" t="b">
        <v>0</v>
      </c>
      <c r="R9" s="5" t="b">
        <v>0</v>
      </c>
      <c r="S9" s="6" t="b">
        <v>0</v>
      </c>
      <c r="T9" s="6" t="b">
        <v>0</v>
      </c>
      <c r="U9" s="6" t="b">
        <v>0</v>
      </c>
      <c r="V9" s="6" t="b">
        <v>0</v>
      </c>
      <c r="W9" s="6" t="b">
        <v>0</v>
      </c>
      <c r="X9" s="7" t="b">
        <v>0</v>
      </c>
      <c r="Y9" s="13" t="b">
        <v>0</v>
      </c>
      <c r="Z9" s="14" t="b">
        <v>0</v>
      </c>
      <c r="AA9" s="14" t="b">
        <v>0</v>
      </c>
      <c r="AB9" s="14" t="b">
        <v>0</v>
      </c>
      <c r="AC9" s="14" t="b">
        <v>0</v>
      </c>
      <c r="AD9" s="14" t="b">
        <v>0</v>
      </c>
      <c r="AE9" s="15" t="b">
        <v>0</v>
      </c>
      <c r="AF9" s="4" t="b">
        <v>0</v>
      </c>
      <c r="AG9" s="4" t="b">
        <v>0</v>
      </c>
      <c r="AH9" s="7" t="b">
        <v>0</v>
      </c>
      <c r="AJ9" s="23">
        <f>COUNTA(D9:AH9)</f>
        <v>31</v>
      </c>
      <c r="AK9" s="23">
        <f>COUNTIF(D9:AH9, TRUE)</f>
        <v>0</v>
      </c>
      <c r="AL9" s="24">
        <f>AK9/AJ9</f>
        <v>0</v>
      </c>
    </row>
    <row r="10" spans="1:39" ht="22.5" customHeight="1" x14ac:dyDescent="0.25">
      <c r="A10" s="37"/>
      <c r="C10" s="76" t="s">
        <v>15</v>
      </c>
      <c r="D10" s="8" t="b">
        <v>0</v>
      </c>
      <c r="E10" s="4" t="b">
        <v>0</v>
      </c>
      <c r="F10" s="4" t="b">
        <v>0</v>
      </c>
      <c r="G10" s="4" t="b">
        <v>0</v>
      </c>
      <c r="H10" s="4" t="b">
        <v>0</v>
      </c>
      <c r="I10" s="4" t="b">
        <v>0</v>
      </c>
      <c r="J10" s="9" t="b">
        <v>0</v>
      </c>
      <c r="K10" s="16" t="b">
        <v>0</v>
      </c>
      <c r="L10" s="17" t="b">
        <v>0</v>
      </c>
      <c r="M10" s="17" t="b">
        <v>0</v>
      </c>
      <c r="N10" s="17" t="b">
        <v>0</v>
      </c>
      <c r="O10" s="17" t="b">
        <v>0</v>
      </c>
      <c r="P10" s="17" t="b">
        <v>0</v>
      </c>
      <c r="Q10" s="18" t="b">
        <v>0</v>
      </c>
      <c r="R10" s="8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9" t="b">
        <v>0</v>
      </c>
      <c r="Y10" s="16" t="b">
        <v>0</v>
      </c>
      <c r="Z10" s="17" t="b">
        <v>0</v>
      </c>
      <c r="AA10" s="17" t="b">
        <v>0</v>
      </c>
      <c r="AB10" s="17" t="b">
        <v>0</v>
      </c>
      <c r="AC10" s="17" t="b">
        <v>0</v>
      </c>
      <c r="AD10" s="17" t="b">
        <v>0</v>
      </c>
      <c r="AE10" s="18" t="b">
        <v>0</v>
      </c>
      <c r="AF10" s="4" t="b">
        <v>0</v>
      </c>
      <c r="AG10" s="4" t="b">
        <v>0</v>
      </c>
      <c r="AH10" s="9" t="b">
        <v>0</v>
      </c>
      <c r="AJ10" s="23">
        <f t="shared" ref="AJ10:AJ15" si="0">COUNTA(D10:AH10)</f>
        <v>31</v>
      </c>
      <c r="AK10" s="23">
        <f t="shared" ref="AK10:AK15" si="1">COUNTIF(D10:AH10, TRUE)</f>
        <v>0</v>
      </c>
      <c r="AL10" s="24">
        <f t="shared" ref="AL10:AL15" si="2">AK10/AJ10</f>
        <v>0</v>
      </c>
    </row>
    <row r="11" spans="1:39" ht="22.5" customHeight="1" x14ac:dyDescent="0.25">
      <c r="A11" s="37"/>
      <c r="C11" s="76" t="s">
        <v>16</v>
      </c>
      <c r="D11" s="8" t="b">
        <v>0</v>
      </c>
      <c r="E11" s="4" t="b">
        <v>0</v>
      </c>
      <c r="F11" s="4" t="b">
        <v>0</v>
      </c>
      <c r="G11" s="4" t="b">
        <v>0</v>
      </c>
      <c r="H11" s="4" t="b">
        <v>0</v>
      </c>
      <c r="I11" s="4" t="b">
        <v>0</v>
      </c>
      <c r="J11" s="9" t="b">
        <v>0</v>
      </c>
      <c r="K11" s="16" t="b">
        <v>0</v>
      </c>
      <c r="L11" s="17" t="b">
        <v>0</v>
      </c>
      <c r="M11" s="17" t="b">
        <v>0</v>
      </c>
      <c r="N11" s="17" t="b">
        <v>0</v>
      </c>
      <c r="O11" s="17" t="b">
        <v>0</v>
      </c>
      <c r="P11" s="17" t="b">
        <v>0</v>
      </c>
      <c r="Q11" s="18" t="b">
        <v>0</v>
      </c>
      <c r="R11" s="8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9" t="b">
        <v>0</v>
      </c>
      <c r="Y11" s="16" t="b">
        <v>0</v>
      </c>
      <c r="Z11" s="17" t="b">
        <v>0</v>
      </c>
      <c r="AA11" s="17" t="b">
        <v>0</v>
      </c>
      <c r="AB11" s="17" t="b">
        <v>0</v>
      </c>
      <c r="AC11" s="17" t="b">
        <v>0</v>
      </c>
      <c r="AD11" s="17" t="b">
        <v>0</v>
      </c>
      <c r="AE11" s="18" t="b">
        <v>0</v>
      </c>
      <c r="AF11" s="4" t="b">
        <v>0</v>
      </c>
      <c r="AG11" s="4" t="b">
        <v>0</v>
      </c>
      <c r="AH11" s="9" t="b">
        <v>0</v>
      </c>
      <c r="AJ11" s="23">
        <f t="shared" si="0"/>
        <v>31</v>
      </c>
      <c r="AK11" s="23">
        <f t="shared" si="1"/>
        <v>0</v>
      </c>
      <c r="AL11" s="24">
        <f t="shared" si="2"/>
        <v>0</v>
      </c>
    </row>
    <row r="12" spans="1:39" ht="22.5" customHeight="1" x14ac:dyDescent="0.25">
      <c r="A12" s="37"/>
      <c r="C12" s="76" t="s">
        <v>17</v>
      </c>
      <c r="D12" s="8" t="b">
        <v>0</v>
      </c>
      <c r="E12" s="4" t="b">
        <v>0</v>
      </c>
      <c r="F12" s="4" t="b">
        <v>0</v>
      </c>
      <c r="G12" s="4" t="b">
        <v>0</v>
      </c>
      <c r="H12" s="4" t="b">
        <v>0</v>
      </c>
      <c r="I12" s="4" t="b">
        <v>0</v>
      </c>
      <c r="J12" s="9" t="b">
        <v>0</v>
      </c>
      <c r="K12" s="16" t="b">
        <v>0</v>
      </c>
      <c r="L12" s="17" t="b">
        <v>0</v>
      </c>
      <c r="M12" s="17" t="b">
        <v>0</v>
      </c>
      <c r="N12" s="17" t="b">
        <v>0</v>
      </c>
      <c r="O12" s="17" t="b">
        <v>0</v>
      </c>
      <c r="P12" s="17" t="b">
        <v>0</v>
      </c>
      <c r="Q12" s="18" t="b">
        <v>0</v>
      </c>
      <c r="R12" s="8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9" t="b">
        <v>0</v>
      </c>
      <c r="Y12" s="16" t="b">
        <v>0</v>
      </c>
      <c r="Z12" s="17" t="b">
        <v>0</v>
      </c>
      <c r="AA12" s="17" t="b">
        <v>0</v>
      </c>
      <c r="AB12" s="17" t="b">
        <v>0</v>
      </c>
      <c r="AC12" s="17" t="b">
        <v>0</v>
      </c>
      <c r="AD12" s="17" t="b">
        <v>0</v>
      </c>
      <c r="AE12" s="18" t="b">
        <v>0</v>
      </c>
      <c r="AF12" s="4" t="b">
        <v>0</v>
      </c>
      <c r="AG12" s="4" t="b">
        <v>0</v>
      </c>
      <c r="AH12" s="9" t="b">
        <v>0</v>
      </c>
      <c r="AJ12" s="23">
        <f t="shared" si="0"/>
        <v>31</v>
      </c>
      <c r="AK12" s="23">
        <f t="shared" si="1"/>
        <v>0</v>
      </c>
      <c r="AL12" s="24">
        <f t="shared" si="2"/>
        <v>0</v>
      </c>
    </row>
    <row r="13" spans="1:39" ht="22.5" customHeight="1" x14ac:dyDescent="0.25">
      <c r="A13" s="37"/>
      <c r="C13" s="76" t="s">
        <v>19</v>
      </c>
      <c r="D13" s="8" t="b">
        <v>0</v>
      </c>
      <c r="E13" s="4" t="b">
        <v>0</v>
      </c>
      <c r="F13" s="4" t="b">
        <v>0</v>
      </c>
      <c r="G13" s="4" t="b">
        <v>0</v>
      </c>
      <c r="H13" s="4" t="b">
        <v>0</v>
      </c>
      <c r="I13" s="4" t="b">
        <v>0</v>
      </c>
      <c r="J13" s="9" t="b">
        <v>0</v>
      </c>
      <c r="K13" s="16" t="b">
        <v>0</v>
      </c>
      <c r="L13" s="17" t="b">
        <v>0</v>
      </c>
      <c r="M13" s="17" t="b">
        <v>0</v>
      </c>
      <c r="N13" s="17" t="b">
        <v>0</v>
      </c>
      <c r="O13" s="17" t="b">
        <v>0</v>
      </c>
      <c r="P13" s="17" t="b">
        <v>0</v>
      </c>
      <c r="Q13" s="18" t="b">
        <v>0</v>
      </c>
      <c r="R13" s="8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9" t="b">
        <v>0</v>
      </c>
      <c r="Y13" s="16" t="b">
        <v>0</v>
      </c>
      <c r="Z13" s="17" t="b">
        <v>0</v>
      </c>
      <c r="AA13" s="17" t="b">
        <v>0</v>
      </c>
      <c r="AB13" s="17" t="b">
        <v>0</v>
      </c>
      <c r="AC13" s="17" t="b">
        <v>0</v>
      </c>
      <c r="AD13" s="17" t="b">
        <v>0</v>
      </c>
      <c r="AE13" s="18" t="b">
        <v>0</v>
      </c>
      <c r="AF13" s="4" t="b">
        <v>0</v>
      </c>
      <c r="AG13" s="4" t="b">
        <v>0</v>
      </c>
      <c r="AH13" s="9" t="b">
        <v>0</v>
      </c>
      <c r="AJ13" s="23">
        <f t="shared" si="0"/>
        <v>31</v>
      </c>
      <c r="AK13" s="23">
        <f t="shared" si="1"/>
        <v>0</v>
      </c>
      <c r="AL13" s="24">
        <f t="shared" si="2"/>
        <v>0</v>
      </c>
    </row>
    <row r="14" spans="1:39" ht="22.5" customHeight="1" x14ac:dyDescent="0.25">
      <c r="A14" s="37"/>
      <c r="C14" s="76" t="s">
        <v>20</v>
      </c>
      <c r="D14" s="8" t="b">
        <v>0</v>
      </c>
      <c r="E14" s="4" t="b">
        <v>0</v>
      </c>
      <c r="F14" s="4" t="b">
        <v>0</v>
      </c>
      <c r="G14" s="4" t="b">
        <v>0</v>
      </c>
      <c r="H14" s="4" t="b">
        <v>0</v>
      </c>
      <c r="I14" s="4" t="b">
        <v>0</v>
      </c>
      <c r="J14" s="9" t="b">
        <v>0</v>
      </c>
      <c r="K14" s="16" t="b">
        <v>0</v>
      </c>
      <c r="L14" s="17" t="b">
        <v>0</v>
      </c>
      <c r="M14" s="17" t="b">
        <v>0</v>
      </c>
      <c r="N14" s="17" t="b">
        <v>0</v>
      </c>
      <c r="O14" s="17" t="b">
        <v>0</v>
      </c>
      <c r="P14" s="17" t="b">
        <v>0</v>
      </c>
      <c r="Q14" s="18" t="b">
        <v>0</v>
      </c>
      <c r="R14" s="8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9" t="b">
        <v>0</v>
      </c>
      <c r="Y14" s="16" t="b">
        <v>0</v>
      </c>
      <c r="Z14" s="17" t="b">
        <v>0</v>
      </c>
      <c r="AA14" s="17" t="b">
        <v>0</v>
      </c>
      <c r="AB14" s="17" t="b">
        <v>0</v>
      </c>
      <c r="AC14" s="17" t="b">
        <v>0</v>
      </c>
      <c r="AD14" s="17" t="b">
        <v>0</v>
      </c>
      <c r="AE14" s="18" t="b">
        <v>0</v>
      </c>
      <c r="AF14" s="4" t="b">
        <v>0</v>
      </c>
      <c r="AG14" s="4" t="b">
        <v>0</v>
      </c>
      <c r="AH14" s="9" t="b">
        <v>0</v>
      </c>
      <c r="AJ14" s="23">
        <f t="shared" si="0"/>
        <v>31</v>
      </c>
      <c r="AK14" s="23">
        <f t="shared" si="1"/>
        <v>0</v>
      </c>
      <c r="AL14" s="24">
        <f t="shared" si="2"/>
        <v>0</v>
      </c>
    </row>
    <row r="15" spans="1:39" ht="22.5" customHeight="1" x14ac:dyDescent="0.25">
      <c r="C15" s="77" t="s">
        <v>18</v>
      </c>
      <c r="D15" s="10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2" t="b">
        <v>0</v>
      </c>
      <c r="K15" s="19" t="b">
        <v>0</v>
      </c>
      <c r="L15" s="20" t="b">
        <v>0</v>
      </c>
      <c r="M15" s="20" t="b">
        <v>0</v>
      </c>
      <c r="N15" s="20" t="b">
        <v>0</v>
      </c>
      <c r="O15" s="20" t="b">
        <v>0</v>
      </c>
      <c r="P15" s="20" t="b">
        <v>0</v>
      </c>
      <c r="Q15" s="21" t="b">
        <v>0</v>
      </c>
      <c r="R15" s="10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2" t="b">
        <v>0</v>
      </c>
      <c r="Y15" s="19" t="b">
        <v>0</v>
      </c>
      <c r="Z15" s="20" t="b">
        <v>0</v>
      </c>
      <c r="AA15" s="20" t="b">
        <v>0</v>
      </c>
      <c r="AB15" s="20" t="b">
        <v>0</v>
      </c>
      <c r="AC15" s="20" t="b">
        <v>0</v>
      </c>
      <c r="AD15" s="20" t="b">
        <v>0</v>
      </c>
      <c r="AE15" s="21" t="b">
        <v>0</v>
      </c>
      <c r="AF15" s="4" t="b">
        <v>0</v>
      </c>
      <c r="AG15" s="4" t="b">
        <v>0</v>
      </c>
      <c r="AH15" s="9" t="b">
        <v>0</v>
      </c>
      <c r="AJ15" s="23">
        <f t="shared" si="0"/>
        <v>31</v>
      </c>
      <c r="AK15" s="23">
        <f t="shared" si="1"/>
        <v>0</v>
      </c>
      <c r="AL15" s="24">
        <f t="shared" si="2"/>
        <v>0</v>
      </c>
    </row>
    <row r="17" spans="3:35" ht="22.5" customHeight="1" x14ac:dyDescent="0.25">
      <c r="C17" s="42"/>
      <c r="D17" s="382" t="s">
        <v>42</v>
      </c>
      <c r="E17" s="382"/>
      <c r="F17" s="382"/>
      <c r="G17" s="382"/>
      <c r="H17" s="382"/>
      <c r="I17" s="382"/>
      <c r="J17" s="382"/>
      <c r="K17" s="43"/>
      <c r="L17" s="43"/>
      <c r="M17" s="43"/>
      <c r="N17" s="44" t="s">
        <v>21</v>
      </c>
      <c r="O17" s="43"/>
      <c r="P17" s="43"/>
      <c r="Q17" s="43"/>
      <c r="R17" s="43"/>
      <c r="S17" s="44" t="s">
        <v>23</v>
      </c>
      <c r="T17" s="43"/>
      <c r="U17" s="45"/>
      <c r="V17" s="43"/>
      <c r="W17" s="43"/>
      <c r="X17" s="44" t="s">
        <v>27</v>
      </c>
      <c r="Y17" s="43"/>
      <c r="Z17" s="43"/>
      <c r="AA17" s="43"/>
      <c r="AB17" s="44" t="s">
        <v>28</v>
      </c>
      <c r="AC17" s="43"/>
      <c r="AD17" s="43"/>
      <c r="AE17" s="46"/>
      <c r="AF17" s="40"/>
      <c r="AG17" s="40"/>
      <c r="AH17" s="40"/>
    </row>
    <row r="18" spans="3:35" ht="22.5" customHeight="1" x14ac:dyDescent="0.25">
      <c r="C18" s="47"/>
      <c r="D18" s="383"/>
      <c r="E18" s="383"/>
      <c r="F18" s="383"/>
      <c r="G18" s="383"/>
      <c r="H18" s="383"/>
      <c r="I18" s="383"/>
      <c r="J18" s="383"/>
      <c r="K18" s="48"/>
      <c r="L18" s="48"/>
      <c r="M18" s="48"/>
      <c r="N18" s="49">
        <f>COUNTA(C23:C29)</f>
        <v>7</v>
      </c>
      <c r="O18" s="48"/>
      <c r="P18" s="48"/>
      <c r="Q18" s="48"/>
      <c r="R18" s="48"/>
      <c r="S18" s="49">
        <f>COUNTIF(D23:AE29,TRUE)</f>
        <v>0</v>
      </c>
      <c r="T18" s="48"/>
      <c r="U18" s="50"/>
      <c r="V18" s="48"/>
      <c r="W18" s="384">
        <f>COUNTIF(D23:AE29, TRUE)/(COUNTA(D22:AE22)*COUNTA(C23:C29))</f>
        <v>0</v>
      </c>
      <c r="X18" s="384"/>
      <c r="Y18" s="384"/>
      <c r="Z18" s="48"/>
      <c r="AA18" s="48"/>
      <c r="AB18" s="51">
        <f>COUNTIF(D23:AE29, TRUE)/(COUNTA(D22:AE22)*COUNTA(C23:C29))</f>
        <v>0</v>
      </c>
      <c r="AC18" s="48"/>
      <c r="AD18" s="48"/>
      <c r="AE18" s="52"/>
      <c r="AF18" s="40"/>
      <c r="AG18" s="40"/>
      <c r="AH18" s="40"/>
    </row>
    <row r="20" spans="3:35" ht="22.5" customHeight="1" x14ac:dyDescent="0.25">
      <c r="C20" s="385" t="s">
        <v>1</v>
      </c>
      <c r="D20" s="388" t="s">
        <v>9</v>
      </c>
      <c r="E20" s="389"/>
      <c r="F20" s="389"/>
      <c r="G20" s="389"/>
      <c r="H20" s="389"/>
      <c r="I20" s="389"/>
      <c r="J20" s="390"/>
      <c r="K20" s="391" t="s">
        <v>10</v>
      </c>
      <c r="L20" s="392"/>
      <c r="M20" s="392"/>
      <c r="N20" s="392"/>
      <c r="O20" s="392"/>
      <c r="P20" s="392"/>
      <c r="Q20" s="393"/>
      <c r="R20" s="388" t="s">
        <v>11</v>
      </c>
      <c r="S20" s="389"/>
      <c r="T20" s="389"/>
      <c r="U20" s="389"/>
      <c r="V20" s="389"/>
      <c r="W20" s="389"/>
      <c r="X20" s="390"/>
      <c r="Y20" s="391" t="s">
        <v>12</v>
      </c>
      <c r="Z20" s="392"/>
      <c r="AA20" s="392"/>
      <c r="AB20" s="392"/>
      <c r="AC20" s="392"/>
      <c r="AD20" s="392"/>
      <c r="AE20" s="393"/>
      <c r="AG20" s="394" t="s">
        <v>24</v>
      </c>
      <c r="AH20" s="394"/>
      <c r="AI20" s="394"/>
    </row>
    <row r="21" spans="3:35" ht="22.5" customHeight="1" x14ac:dyDescent="0.25">
      <c r="C21" s="386"/>
      <c r="D21" s="53" t="s">
        <v>3</v>
      </c>
      <c r="E21" s="53" t="s">
        <v>4</v>
      </c>
      <c r="F21" s="53" t="s">
        <v>5</v>
      </c>
      <c r="G21" s="53" t="s">
        <v>6</v>
      </c>
      <c r="H21" s="53" t="s">
        <v>7</v>
      </c>
      <c r="I21" s="53" t="s">
        <v>8</v>
      </c>
      <c r="J21" s="53" t="s">
        <v>2</v>
      </c>
      <c r="K21" s="63" t="s">
        <v>3</v>
      </c>
      <c r="L21" s="63" t="s">
        <v>4</v>
      </c>
      <c r="M21" s="63" t="s">
        <v>5</v>
      </c>
      <c r="N21" s="63" t="s">
        <v>6</v>
      </c>
      <c r="O21" s="63" t="s">
        <v>7</v>
      </c>
      <c r="P21" s="63" t="s">
        <v>8</v>
      </c>
      <c r="Q21" s="63" t="s">
        <v>2</v>
      </c>
      <c r="R21" s="53" t="s">
        <v>3</v>
      </c>
      <c r="S21" s="53" t="s">
        <v>4</v>
      </c>
      <c r="T21" s="53" t="s">
        <v>5</v>
      </c>
      <c r="U21" s="53" t="s">
        <v>6</v>
      </c>
      <c r="V21" s="53" t="s">
        <v>7</v>
      </c>
      <c r="W21" s="53" t="s">
        <v>8</v>
      </c>
      <c r="X21" s="53" t="s">
        <v>2</v>
      </c>
      <c r="Y21" s="63" t="s">
        <v>3</v>
      </c>
      <c r="Z21" s="63" t="s">
        <v>4</v>
      </c>
      <c r="AA21" s="63" t="s">
        <v>5</v>
      </c>
      <c r="AB21" s="63" t="s">
        <v>6</v>
      </c>
      <c r="AC21" s="63" t="s">
        <v>7</v>
      </c>
      <c r="AD21" s="63" t="s">
        <v>8</v>
      </c>
      <c r="AE21" s="63" t="s">
        <v>2</v>
      </c>
      <c r="AG21" s="394"/>
      <c r="AH21" s="394"/>
      <c r="AI21" s="394"/>
    </row>
    <row r="22" spans="3:35" ht="22.5" customHeight="1" x14ac:dyDescent="0.25">
      <c r="C22" s="387"/>
      <c r="D22" s="53">
        <v>1</v>
      </c>
      <c r="E22" s="53">
        <v>2</v>
      </c>
      <c r="F22" s="53">
        <v>3</v>
      </c>
      <c r="G22" s="53">
        <v>4</v>
      </c>
      <c r="H22" s="53">
        <v>5</v>
      </c>
      <c r="I22" s="53">
        <v>6</v>
      </c>
      <c r="J22" s="53">
        <v>7</v>
      </c>
      <c r="K22" s="63">
        <v>8</v>
      </c>
      <c r="L22" s="63">
        <v>9</v>
      </c>
      <c r="M22" s="63">
        <v>10</v>
      </c>
      <c r="N22" s="63">
        <v>11</v>
      </c>
      <c r="O22" s="63">
        <v>12</v>
      </c>
      <c r="P22" s="63">
        <v>13</v>
      </c>
      <c r="Q22" s="63">
        <v>14</v>
      </c>
      <c r="R22" s="53">
        <v>15</v>
      </c>
      <c r="S22" s="53">
        <v>16</v>
      </c>
      <c r="T22" s="53">
        <v>17</v>
      </c>
      <c r="U22" s="53">
        <v>18</v>
      </c>
      <c r="V22" s="53">
        <v>19</v>
      </c>
      <c r="W22" s="53">
        <v>20</v>
      </c>
      <c r="X22" s="53">
        <v>21</v>
      </c>
      <c r="Y22" s="63">
        <v>22</v>
      </c>
      <c r="Z22" s="63">
        <v>23</v>
      </c>
      <c r="AA22" s="63">
        <v>24</v>
      </c>
      <c r="AB22" s="63">
        <v>25</v>
      </c>
      <c r="AC22" s="63">
        <v>26</v>
      </c>
      <c r="AD22" s="63">
        <v>27</v>
      </c>
      <c r="AE22" s="63">
        <v>28</v>
      </c>
      <c r="AG22" s="74" t="s">
        <v>25</v>
      </c>
      <c r="AH22" s="74" t="s">
        <v>26</v>
      </c>
      <c r="AI22" s="74" t="s">
        <v>27</v>
      </c>
    </row>
    <row r="23" spans="3:35" ht="22.5" customHeight="1" x14ac:dyDescent="0.25">
      <c r="C23" s="78" t="s">
        <v>14</v>
      </c>
      <c r="D23" s="54" t="b">
        <v>0</v>
      </c>
      <c r="E23" s="55" t="b">
        <v>0</v>
      </c>
      <c r="F23" s="55" t="b">
        <v>0</v>
      </c>
      <c r="G23" s="55" t="b">
        <v>0</v>
      </c>
      <c r="H23" s="55" t="b">
        <v>0</v>
      </c>
      <c r="I23" s="55" t="b">
        <v>0</v>
      </c>
      <c r="J23" s="56" t="b">
        <v>0</v>
      </c>
      <c r="K23" s="64" t="b">
        <v>0</v>
      </c>
      <c r="L23" s="65" t="b">
        <v>0</v>
      </c>
      <c r="M23" s="65" t="b">
        <v>0</v>
      </c>
      <c r="N23" s="65" t="b">
        <v>0</v>
      </c>
      <c r="O23" s="65" t="b">
        <v>0</v>
      </c>
      <c r="P23" s="65" t="b">
        <v>0</v>
      </c>
      <c r="Q23" s="66" t="b">
        <v>0</v>
      </c>
      <c r="R23" s="54" t="b">
        <v>0</v>
      </c>
      <c r="S23" s="55" t="b">
        <v>0</v>
      </c>
      <c r="T23" s="55" t="b">
        <v>0</v>
      </c>
      <c r="U23" s="55" t="b">
        <v>0</v>
      </c>
      <c r="V23" s="55" t="b">
        <v>0</v>
      </c>
      <c r="W23" s="55" t="b">
        <v>0</v>
      </c>
      <c r="X23" s="56" t="b">
        <v>0</v>
      </c>
      <c r="Y23" s="64" t="b">
        <v>0</v>
      </c>
      <c r="Z23" s="65" t="b">
        <v>0</v>
      </c>
      <c r="AA23" s="65" t="b">
        <v>0</v>
      </c>
      <c r="AB23" s="65" t="b">
        <v>0</v>
      </c>
      <c r="AC23" s="65" t="b">
        <v>0</v>
      </c>
      <c r="AD23" s="65" t="b">
        <v>0</v>
      </c>
      <c r="AE23" s="66" t="b">
        <v>0</v>
      </c>
      <c r="AG23" s="23">
        <f>COUNTA(D23:AE23)</f>
        <v>28</v>
      </c>
      <c r="AH23" s="23">
        <f t="shared" ref="AH23:AH29" si="3">COUNTIF(D23:AE23, TRUE)</f>
        <v>0</v>
      </c>
      <c r="AI23" s="24">
        <f>AH23/AG23</f>
        <v>0</v>
      </c>
    </row>
    <row r="24" spans="3:35" ht="22.5" customHeight="1" x14ac:dyDescent="0.25">
      <c r="C24" s="79" t="s">
        <v>15</v>
      </c>
      <c r="D24" s="57" t="b">
        <v>0</v>
      </c>
      <c r="E24" s="58" t="b">
        <v>0</v>
      </c>
      <c r="F24" s="58" t="b">
        <v>0</v>
      </c>
      <c r="G24" s="58" t="b">
        <v>0</v>
      </c>
      <c r="H24" s="58" t="b">
        <v>0</v>
      </c>
      <c r="I24" s="58" t="b">
        <v>0</v>
      </c>
      <c r="J24" s="59" t="b">
        <v>0</v>
      </c>
      <c r="K24" s="67" t="b">
        <v>0</v>
      </c>
      <c r="L24" s="68" t="b">
        <v>0</v>
      </c>
      <c r="M24" s="68" t="b">
        <v>0</v>
      </c>
      <c r="N24" s="68" t="b">
        <v>0</v>
      </c>
      <c r="O24" s="68" t="b">
        <v>0</v>
      </c>
      <c r="P24" s="68" t="b">
        <v>0</v>
      </c>
      <c r="Q24" s="69" t="b">
        <v>0</v>
      </c>
      <c r="R24" s="57" t="b">
        <v>0</v>
      </c>
      <c r="S24" s="58" t="b">
        <v>0</v>
      </c>
      <c r="T24" s="58" t="b">
        <v>0</v>
      </c>
      <c r="U24" s="58" t="b">
        <v>0</v>
      </c>
      <c r="V24" s="58" t="b">
        <v>0</v>
      </c>
      <c r="W24" s="58" t="b">
        <v>0</v>
      </c>
      <c r="X24" s="59" t="b">
        <v>0</v>
      </c>
      <c r="Y24" s="67" t="b">
        <v>0</v>
      </c>
      <c r="Z24" s="68" t="b">
        <v>0</v>
      </c>
      <c r="AA24" s="68" t="b">
        <v>0</v>
      </c>
      <c r="AB24" s="68" t="b">
        <v>0</v>
      </c>
      <c r="AC24" s="68" t="b">
        <v>0</v>
      </c>
      <c r="AD24" s="68" t="b">
        <v>0</v>
      </c>
      <c r="AE24" s="69" t="b">
        <v>0</v>
      </c>
      <c r="AG24" s="23">
        <f>COUNTA(D24:AE24)</f>
        <v>28</v>
      </c>
      <c r="AH24" s="23">
        <f t="shared" si="3"/>
        <v>0</v>
      </c>
      <c r="AI24" s="24">
        <f t="shared" ref="AI24:AI29" si="4">AH24/AG24</f>
        <v>0</v>
      </c>
    </row>
    <row r="25" spans="3:35" ht="22.5" customHeight="1" x14ac:dyDescent="0.25">
      <c r="C25" s="79" t="s">
        <v>16</v>
      </c>
      <c r="D25" s="57" t="b">
        <v>0</v>
      </c>
      <c r="E25" s="58" t="b">
        <v>0</v>
      </c>
      <c r="F25" s="58" t="b">
        <v>0</v>
      </c>
      <c r="G25" s="58" t="b">
        <v>0</v>
      </c>
      <c r="H25" s="58" t="b">
        <v>0</v>
      </c>
      <c r="I25" s="58" t="b">
        <v>0</v>
      </c>
      <c r="J25" s="59" t="b">
        <v>0</v>
      </c>
      <c r="K25" s="67" t="b">
        <v>0</v>
      </c>
      <c r="L25" s="68" t="b">
        <v>0</v>
      </c>
      <c r="M25" s="68" t="b">
        <v>0</v>
      </c>
      <c r="N25" s="68" t="b">
        <v>0</v>
      </c>
      <c r="O25" s="68" t="b">
        <v>0</v>
      </c>
      <c r="P25" s="68" t="b">
        <v>0</v>
      </c>
      <c r="Q25" s="69" t="b">
        <v>0</v>
      </c>
      <c r="R25" s="57" t="b">
        <v>0</v>
      </c>
      <c r="S25" s="58" t="b">
        <v>0</v>
      </c>
      <c r="T25" s="58" t="b">
        <v>0</v>
      </c>
      <c r="U25" s="58" t="b">
        <v>0</v>
      </c>
      <c r="V25" s="58" t="b">
        <v>0</v>
      </c>
      <c r="W25" s="58" t="b">
        <v>0</v>
      </c>
      <c r="X25" s="59" t="b">
        <v>0</v>
      </c>
      <c r="Y25" s="67" t="b">
        <v>0</v>
      </c>
      <c r="Z25" s="68" t="b">
        <v>0</v>
      </c>
      <c r="AA25" s="68" t="b">
        <v>0</v>
      </c>
      <c r="AB25" s="68" t="b">
        <v>0</v>
      </c>
      <c r="AC25" s="68" t="b">
        <v>0</v>
      </c>
      <c r="AD25" s="68" t="b">
        <v>0</v>
      </c>
      <c r="AE25" s="69" t="b">
        <v>0</v>
      </c>
      <c r="AG25" s="23">
        <f t="shared" ref="AG25:AG29" si="5">COUNTA(D25:AE25)</f>
        <v>28</v>
      </c>
      <c r="AH25" s="23">
        <f t="shared" si="3"/>
        <v>0</v>
      </c>
      <c r="AI25" s="24">
        <f t="shared" si="4"/>
        <v>0</v>
      </c>
    </row>
    <row r="26" spans="3:35" ht="22.5" customHeight="1" x14ac:dyDescent="0.25">
      <c r="C26" s="79" t="s">
        <v>17</v>
      </c>
      <c r="D26" s="57" t="b">
        <v>0</v>
      </c>
      <c r="E26" s="58" t="b">
        <v>0</v>
      </c>
      <c r="F26" s="58" t="b">
        <v>0</v>
      </c>
      <c r="G26" s="58" t="b">
        <v>0</v>
      </c>
      <c r="H26" s="58" t="b">
        <v>0</v>
      </c>
      <c r="I26" s="58" t="b">
        <v>0</v>
      </c>
      <c r="J26" s="59" t="b">
        <v>0</v>
      </c>
      <c r="K26" s="67" t="b">
        <v>0</v>
      </c>
      <c r="L26" s="68" t="b">
        <v>0</v>
      </c>
      <c r="M26" s="68" t="b">
        <v>0</v>
      </c>
      <c r="N26" s="68" t="b">
        <v>0</v>
      </c>
      <c r="O26" s="68" t="b">
        <v>0</v>
      </c>
      <c r="P26" s="68" t="b">
        <v>0</v>
      </c>
      <c r="Q26" s="69" t="b">
        <v>0</v>
      </c>
      <c r="R26" s="57" t="b">
        <v>0</v>
      </c>
      <c r="S26" s="58" t="b">
        <v>0</v>
      </c>
      <c r="T26" s="58" t="b">
        <v>0</v>
      </c>
      <c r="U26" s="58" t="b">
        <v>0</v>
      </c>
      <c r="V26" s="58" t="b">
        <v>0</v>
      </c>
      <c r="W26" s="58" t="b">
        <v>0</v>
      </c>
      <c r="X26" s="59" t="b">
        <v>0</v>
      </c>
      <c r="Y26" s="67" t="b">
        <v>0</v>
      </c>
      <c r="Z26" s="68" t="b">
        <v>0</v>
      </c>
      <c r="AA26" s="68" t="b">
        <v>0</v>
      </c>
      <c r="AB26" s="68" t="b">
        <v>0</v>
      </c>
      <c r="AC26" s="68" t="b">
        <v>0</v>
      </c>
      <c r="AD26" s="68" t="b">
        <v>0</v>
      </c>
      <c r="AE26" s="69" t="b">
        <v>0</v>
      </c>
      <c r="AG26" s="23">
        <f t="shared" si="5"/>
        <v>28</v>
      </c>
      <c r="AH26" s="23">
        <f t="shared" si="3"/>
        <v>0</v>
      </c>
      <c r="AI26" s="24">
        <f>AH26/AG26</f>
        <v>0</v>
      </c>
    </row>
    <row r="27" spans="3:35" ht="22.5" customHeight="1" x14ac:dyDescent="0.25">
      <c r="C27" s="79" t="s">
        <v>19</v>
      </c>
      <c r="D27" s="57" t="b">
        <v>0</v>
      </c>
      <c r="E27" s="58" t="b">
        <v>0</v>
      </c>
      <c r="F27" s="58" t="b">
        <v>0</v>
      </c>
      <c r="G27" s="58" t="b">
        <v>0</v>
      </c>
      <c r="H27" s="58" t="b">
        <v>0</v>
      </c>
      <c r="I27" s="58" t="b">
        <v>0</v>
      </c>
      <c r="J27" s="59" t="b">
        <v>0</v>
      </c>
      <c r="K27" s="67" t="b">
        <v>0</v>
      </c>
      <c r="L27" s="68" t="b">
        <v>0</v>
      </c>
      <c r="M27" s="68" t="b">
        <v>0</v>
      </c>
      <c r="N27" s="68" t="b">
        <v>0</v>
      </c>
      <c r="O27" s="68" t="b">
        <v>0</v>
      </c>
      <c r="P27" s="68" t="b">
        <v>0</v>
      </c>
      <c r="Q27" s="69" t="b">
        <v>0</v>
      </c>
      <c r="R27" s="57" t="b">
        <v>0</v>
      </c>
      <c r="S27" s="58" t="b">
        <v>0</v>
      </c>
      <c r="T27" s="58" t="b">
        <v>0</v>
      </c>
      <c r="U27" s="58" t="b">
        <v>0</v>
      </c>
      <c r="V27" s="58" t="b">
        <v>0</v>
      </c>
      <c r="W27" s="58" t="b">
        <v>0</v>
      </c>
      <c r="X27" s="59" t="b">
        <v>0</v>
      </c>
      <c r="Y27" s="67" t="b">
        <v>0</v>
      </c>
      <c r="Z27" s="68" t="b">
        <v>0</v>
      </c>
      <c r="AA27" s="68" t="b">
        <v>0</v>
      </c>
      <c r="AB27" s="68" t="b">
        <v>0</v>
      </c>
      <c r="AC27" s="68" t="b">
        <v>0</v>
      </c>
      <c r="AD27" s="68" t="b">
        <v>0</v>
      </c>
      <c r="AE27" s="69" t="b">
        <v>0</v>
      </c>
      <c r="AG27" s="23">
        <f t="shared" si="5"/>
        <v>28</v>
      </c>
      <c r="AH27" s="23">
        <f t="shared" si="3"/>
        <v>0</v>
      </c>
      <c r="AI27" s="24">
        <f t="shared" si="4"/>
        <v>0</v>
      </c>
    </row>
    <row r="28" spans="3:35" ht="22.5" customHeight="1" x14ac:dyDescent="0.25">
      <c r="C28" s="79" t="s">
        <v>20</v>
      </c>
      <c r="D28" s="57" t="b">
        <v>0</v>
      </c>
      <c r="E28" s="58" t="b">
        <v>0</v>
      </c>
      <c r="F28" s="58" t="b">
        <v>0</v>
      </c>
      <c r="G28" s="58" t="b">
        <v>0</v>
      </c>
      <c r="H28" s="58" t="b">
        <v>0</v>
      </c>
      <c r="I28" s="58" t="b">
        <v>0</v>
      </c>
      <c r="J28" s="59" t="b">
        <v>0</v>
      </c>
      <c r="K28" s="67" t="b">
        <v>0</v>
      </c>
      <c r="L28" s="68" t="b">
        <v>0</v>
      </c>
      <c r="M28" s="68" t="b">
        <v>0</v>
      </c>
      <c r="N28" s="68" t="b">
        <v>0</v>
      </c>
      <c r="O28" s="68" t="b">
        <v>0</v>
      </c>
      <c r="P28" s="68" t="b">
        <v>0</v>
      </c>
      <c r="Q28" s="69" t="b">
        <v>0</v>
      </c>
      <c r="R28" s="57" t="b">
        <v>0</v>
      </c>
      <c r="S28" s="58" t="b">
        <v>0</v>
      </c>
      <c r="T28" s="58" t="b">
        <v>0</v>
      </c>
      <c r="U28" s="58" t="b">
        <v>0</v>
      </c>
      <c r="V28" s="58" t="b">
        <v>0</v>
      </c>
      <c r="W28" s="58" t="b">
        <v>0</v>
      </c>
      <c r="X28" s="59" t="b">
        <v>0</v>
      </c>
      <c r="Y28" s="67" t="b">
        <v>0</v>
      </c>
      <c r="Z28" s="68" t="b">
        <v>0</v>
      </c>
      <c r="AA28" s="68" t="b">
        <v>0</v>
      </c>
      <c r="AB28" s="68" t="b">
        <v>0</v>
      </c>
      <c r="AC28" s="68" t="b">
        <v>0</v>
      </c>
      <c r="AD28" s="68" t="b">
        <v>0</v>
      </c>
      <c r="AE28" s="69" t="b">
        <v>0</v>
      </c>
      <c r="AG28" s="23">
        <f t="shared" si="5"/>
        <v>28</v>
      </c>
      <c r="AH28" s="23">
        <f t="shared" si="3"/>
        <v>0</v>
      </c>
      <c r="AI28" s="24">
        <f t="shared" si="4"/>
        <v>0</v>
      </c>
    </row>
    <row r="29" spans="3:35" ht="22.5" customHeight="1" x14ac:dyDescent="0.25">
      <c r="C29" s="80" t="s">
        <v>18</v>
      </c>
      <c r="D29" s="60" t="b">
        <v>0</v>
      </c>
      <c r="E29" s="61" t="b">
        <v>0</v>
      </c>
      <c r="F29" s="61" t="b">
        <v>0</v>
      </c>
      <c r="G29" s="61" t="b">
        <v>0</v>
      </c>
      <c r="H29" s="61" t="b">
        <v>0</v>
      </c>
      <c r="I29" s="61" t="b">
        <v>0</v>
      </c>
      <c r="J29" s="62" t="b">
        <v>0</v>
      </c>
      <c r="K29" s="70" t="b">
        <v>0</v>
      </c>
      <c r="L29" s="71" t="b">
        <v>0</v>
      </c>
      <c r="M29" s="71" t="b">
        <v>0</v>
      </c>
      <c r="N29" s="71" t="b">
        <v>0</v>
      </c>
      <c r="O29" s="71" t="b">
        <v>0</v>
      </c>
      <c r="P29" s="71" t="b">
        <v>0</v>
      </c>
      <c r="Q29" s="72" t="b">
        <v>0</v>
      </c>
      <c r="R29" s="60" t="b">
        <v>0</v>
      </c>
      <c r="S29" s="61" t="b">
        <v>0</v>
      </c>
      <c r="T29" s="61" t="b">
        <v>0</v>
      </c>
      <c r="U29" s="61" t="b">
        <v>0</v>
      </c>
      <c r="V29" s="61" t="b">
        <v>0</v>
      </c>
      <c r="W29" s="61" t="b">
        <v>0</v>
      </c>
      <c r="X29" s="62" t="b">
        <v>0</v>
      </c>
      <c r="Y29" s="70" t="b">
        <v>0</v>
      </c>
      <c r="Z29" s="71" t="b">
        <v>0</v>
      </c>
      <c r="AA29" s="71" t="b">
        <v>0</v>
      </c>
      <c r="AB29" s="71" t="b">
        <v>0</v>
      </c>
      <c r="AC29" s="71" t="b">
        <v>0</v>
      </c>
      <c r="AD29" s="71" t="b">
        <v>0</v>
      </c>
      <c r="AE29" s="72" t="b">
        <v>0</v>
      </c>
      <c r="AG29" s="23">
        <f t="shared" si="5"/>
        <v>28</v>
      </c>
      <c r="AH29" s="23">
        <f t="shared" si="3"/>
        <v>0</v>
      </c>
      <c r="AI29" s="24">
        <f t="shared" si="4"/>
        <v>0</v>
      </c>
    </row>
    <row r="31" spans="3:35" ht="22.5" customHeight="1" x14ac:dyDescent="0.25">
      <c r="C31" s="81"/>
      <c r="D31" s="395" t="s">
        <v>43</v>
      </c>
      <c r="E31" s="395"/>
      <c r="F31" s="395"/>
      <c r="G31" s="395"/>
      <c r="H31" s="395"/>
      <c r="I31" s="395"/>
      <c r="J31" s="395"/>
      <c r="K31" s="82"/>
      <c r="L31" s="82"/>
      <c r="M31" s="82"/>
      <c r="N31" s="83" t="s">
        <v>21</v>
      </c>
      <c r="O31" s="82"/>
      <c r="P31" s="82"/>
      <c r="Q31" s="82"/>
      <c r="R31" s="82"/>
      <c r="S31" s="83" t="s">
        <v>23</v>
      </c>
      <c r="T31" s="82"/>
      <c r="U31" s="84"/>
      <c r="V31" s="82"/>
      <c r="W31" s="82"/>
      <c r="X31" s="83" t="s">
        <v>27</v>
      </c>
      <c r="Y31" s="82"/>
      <c r="Z31" s="82"/>
      <c r="AA31" s="82"/>
      <c r="AB31" s="83" t="s">
        <v>28</v>
      </c>
      <c r="AC31" s="82"/>
      <c r="AD31" s="82"/>
      <c r="AE31" s="82"/>
      <c r="AF31" s="82"/>
      <c r="AG31" s="82"/>
      <c r="AH31" s="85"/>
    </row>
    <row r="32" spans="3:35" ht="22.5" customHeight="1" x14ac:dyDescent="0.25">
      <c r="C32" s="86"/>
      <c r="D32" s="396"/>
      <c r="E32" s="396"/>
      <c r="F32" s="396"/>
      <c r="G32" s="396"/>
      <c r="H32" s="396"/>
      <c r="I32" s="396"/>
      <c r="J32" s="396"/>
      <c r="K32" s="87"/>
      <c r="L32" s="87"/>
      <c r="M32" s="87"/>
      <c r="N32" s="88">
        <f>COUNTA(C37:C43)</f>
        <v>7</v>
      </c>
      <c r="O32" s="87"/>
      <c r="P32" s="87"/>
      <c r="Q32" s="87"/>
      <c r="R32" s="87"/>
      <c r="S32" s="88">
        <f>COUNTIF(D37:AH43,TRUE)</f>
        <v>0</v>
      </c>
      <c r="T32" s="87"/>
      <c r="U32" s="89"/>
      <c r="V32" s="87"/>
      <c r="W32" s="397">
        <f>COUNTIF(D37:AH43, TRUE)/(COUNTA(D36:AH36)*COUNTA(C37:C43))</f>
        <v>0</v>
      </c>
      <c r="X32" s="397"/>
      <c r="Y32" s="397"/>
      <c r="Z32" s="87"/>
      <c r="AA32" s="87"/>
      <c r="AB32" s="90">
        <f>COUNTIF(D37:AH43, TRUE)/(COUNTA(D36:AH36)*COUNTA(C37:C43))</f>
        <v>0</v>
      </c>
      <c r="AC32" s="87"/>
      <c r="AD32" s="87"/>
      <c r="AE32" s="87"/>
      <c r="AF32" s="87"/>
      <c r="AG32" s="87"/>
      <c r="AH32" s="91"/>
    </row>
    <row r="34" spans="3:38" ht="22.5" customHeight="1" x14ac:dyDescent="0.25">
      <c r="C34" s="398" t="s">
        <v>1</v>
      </c>
      <c r="D34" s="380" t="s">
        <v>9</v>
      </c>
      <c r="E34" s="380"/>
      <c r="F34" s="380"/>
      <c r="G34" s="380"/>
      <c r="H34" s="380"/>
      <c r="I34" s="380"/>
      <c r="J34" s="380"/>
      <c r="K34" s="399" t="s">
        <v>10</v>
      </c>
      <c r="L34" s="399"/>
      <c r="M34" s="399"/>
      <c r="N34" s="399"/>
      <c r="O34" s="399"/>
      <c r="P34" s="399"/>
      <c r="Q34" s="399"/>
      <c r="R34" s="380" t="s">
        <v>11</v>
      </c>
      <c r="S34" s="380"/>
      <c r="T34" s="380"/>
      <c r="U34" s="380"/>
      <c r="V34" s="380"/>
      <c r="W34" s="380"/>
      <c r="X34" s="380"/>
      <c r="Y34" s="399" t="s">
        <v>12</v>
      </c>
      <c r="Z34" s="399"/>
      <c r="AA34" s="399"/>
      <c r="AB34" s="399"/>
      <c r="AC34" s="399"/>
      <c r="AD34" s="399"/>
      <c r="AE34" s="399"/>
      <c r="AF34" s="380" t="s">
        <v>13</v>
      </c>
      <c r="AG34" s="380"/>
      <c r="AH34" s="380"/>
      <c r="AJ34" s="381" t="s">
        <v>24</v>
      </c>
      <c r="AK34" s="381"/>
      <c r="AL34" s="381"/>
    </row>
    <row r="35" spans="3:38" ht="22.5" customHeight="1" x14ac:dyDescent="0.25">
      <c r="C35" s="398"/>
      <c r="D35" s="92" t="s">
        <v>3</v>
      </c>
      <c r="E35" s="92" t="s">
        <v>4</v>
      </c>
      <c r="F35" s="92" t="s">
        <v>5</v>
      </c>
      <c r="G35" s="92" t="s">
        <v>6</v>
      </c>
      <c r="H35" s="92" t="s">
        <v>7</v>
      </c>
      <c r="I35" s="92" t="s">
        <v>8</v>
      </c>
      <c r="J35" s="92" t="s">
        <v>2</v>
      </c>
      <c r="K35" s="116" t="s">
        <v>3</v>
      </c>
      <c r="L35" s="116" t="s">
        <v>4</v>
      </c>
      <c r="M35" s="116" t="s">
        <v>5</v>
      </c>
      <c r="N35" s="116" t="s">
        <v>6</v>
      </c>
      <c r="O35" s="116" t="s">
        <v>7</v>
      </c>
      <c r="P35" s="116" t="s">
        <v>8</v>
      </c>
      <c r="Q35" s="116" t="s">
        <v>2</v>
      </c>
      <c r="R35" s="92" t="s">
        <v>3</v>
      </c>
      <c r="S35" s="92" t="s">
        <v>4</v>
      </c>
      <c r="T35" s="92" t="s">
        <v>5</v>
      </c>
      <c r="U35" s="92" t="s">
        <v>6</v>
      </c>
      <c r="V35" s="92" t="s">
        <v>7</v>
      </c>
      <c r="W35" s="92" t="s">
        <v>8</v>
      </c>
      <c r="X35" s="92" t="s">
        <v>2</v>
      </c>
      <c r="Y35" s="116" t="s">
        <v>3</v>
      </c>
      <c r="Z35" s="116" t="s">
        <v>4</v>
      </c>
      <c r="AA35" s="116" t="s">
        <v>5</v>
      </c>
      <c r="AB35" s="116" t="s">
        <v>6</v>
      </c>
      <c r="AC35" s="116" t="s">
        <v>7</v>
      </c>
      <c r="AD35" s="116" t="s">
        <v>8</v>
      </c>
      <c r="AE35" s="116" t="s">
        <v>2</v>
      </c>
      <c r="AF35" s="92" t="s">
        <v>3</v>
      </c>
      <c r="AG35" s="92" t="s">
        <v>4</v>
      </c>
      <c r="AH35" s="92" t="s">
        <v>5</v>
      </c>
      <c r="AJ35" s="381"/>
      <c r="AK35" s="381"/>
      <c r="AL35" s="381"/>
    </row>
    <row r="36" spans="3:38" ht="22.5" customHeight="1" x14ac:dyDescent="0.25">
      <c r="C36" s="398"/>
      <c r="D36" s="92">
        <v>1</v>
      </c>
      <c r="E36" s="92">
        <v>2</v>
      </c>
      <c r="F36" s="92">
        <v>3</v>
      </c>
      <c r="G36" s="92">
        <v>4</v>
      </c>
      <c r="H36" s="92">
        <v>5</v>
      </c>
      <c r="I36" s="92">
        <v>6</v>
      </c>
      <c r="J36" s="92">
        <v>7</v>
      </c>
      <c r="K36" s="105">
        <v>8</v>
      </c>
      <c r="L36" s="105">
        <v>9</v>
      </c>
      <c r="M36" s="105">
        <v>10</v>
      </c>
      <c r="N36" s="105">
        <v>11</v>
      </c>
      <c r="O36" s="105">
        <v>12</v>
      </c>
      <c r="P36" s="105">
        <v>13</v>
      </c>
      <c r="Q36" s="105">
        <v>14</v>
      </c>
      <c r="R36" s="92">
        <v>15</v>
      </c>
      <c r="S36" s="92">
        <v>16</v>
      </c>
      <c r="T36" s="92">
        <v>17</v>
      </c>
      <c r="U36" s="92">
        <v>18</v>
      </c>
      <c r="V36" s="92">
        <v>19</v>
      </c>
      <c r="W36" s="92">
        <v>20</v>
      </c>
      <c r="X36" s="92">
        <v>21</v>
      </c>
      <c r="Y36" s="105">
        <v>22</v>
      </c>
      <c r="Z36" s="105">
        <v>23</v>
      </c>
      <c r="AA36" s="105">
        <v>24</v>
      </c>
      <c r="AB36" s="105">
        <v>25</v>
      </c>
      <c r="AC36" s="105">
        <v>26</v>
      </c>
      <c r="AD36" s="105">
        <v>27</v>
      </c>
      <c r="AE36" s="105">
        <v>28</v>
      </c>
      <c r="AF36" s="92">
        <v>29</v>
      </c>
      <c r="AG36" s="92">
        <v>30</v>
      </c>
      <c r="AH36" s="92">
        <v>31</v>
      </c>
      <c r="AJ36" s="115" t="s">
        <v>25</v>
      </c>
      <c r="AK36" s="115" t="s">
        <v>26</v>
      </c>
      <c r="AL36" s="115" t="s">
        <v>27</v>
      </c>
    </row>
    <row r="37" spans="3:38" ht="22.5" customHeight="1" x14ac:dyDescent="0.25">
      <c r="C37" s="102" t="s">
        <v>14</v>
      </c>
      <c r="D37" s="93" t="b">
        <v>0</v>
      </c>
      <c r="E37" s="94" t="b">
        <v>0</v>
      </c>
      <c r="F37" s="94" t="b">
        <v>0</v>
      </c>
      <c r="G37" s="94" t="b">
        <v>0</v>
      </c>
      <c r="H37" s="94" t="b">
        <v>0</v>
      </c>
      <c r="I37" s="94" t="b">
        <v>0</v>
      </c>
      <c r="J37" s="95" t="b">
        <v>0</v>
      </c>
      <c r="K37" s="106" t="b">
        <v>0</v>
      </c>
      <c r="L37" s="107" t="b">
        <v>0</v>
      </c>
      <c r="M37" s="107" t="b">
        <v>0</v>
      </c>
      <c r="N37" s="107" t="b">
        <v>0</v>
      </c>
      <c r="O37" s="107" t="b">
        <v>0</v>
      </c>
      <c r="P37" s="107" t="b">
        <v>0</v>
      </c>
      <c r="Q37" s="108" t="b">
        <v>0</v>
      </c>
      <c r="R37" s="93" t="b">
        <v>0</v>
      </c>
      <c r="S37" s="94" t="b">
        <v>0</v>
      </c>
      <c r="T37" s="94" t="b">
        <v>0</v>
      </c>
      <c r="U37" s="94" t="b">
        <v>0</v>
      </c>
      <c r="V37" s="94" t="b">
        <v>0</v>
      </c>
      <c r="W37" s="94" t="b">
        <v>0</v>
      </c>
      <c r="X37" s="95" t="b">
        <v>0</v>
      </c>
      <c r="Y37" s="106" t="b">
        <v>0</v>
      </c>
      <c r="Z37" s="107" t="b">
        <v>0</v>
      </c>
      <c r="AA37" s="107" t="b">
        <v>0</v>
      </c>
      <c r="AB37" s="107" t="b">
        <v>0</v>
      </c>
      <c r="AC37" s="107" t="b">
        <v>0</v>
      </c>
      <c r="AD37" s="107" t="b">
        <v>0</v>
      </c>
      <c r="AE37" s="108" t="b">
        <v>0</v>
      </c>
      <c r="AF37" s="93" t="b">
        <v>0</v>
      </c>
      <c r="AG37" s="94" t="b">
        <v>0</v>
      </c>
      <c r="AH37" s="95" t="b">
        <v>0</v>
      </c>
      <c r="AJ37" s="23">
        <f>COUNTA(D37:AH37)</f>
        <v>31</v>
      </c>
      <c r="AK37" s="23">
        <f>COUNTIF(D37:AH37, TRUE)</f>
        <v>0</v>
      </c>
      <c r="AL37" s="24">
        <f>AK37/AJ37</f>
        <v>0</v>
      </c>
    </row>
    <row r="38" spans="3:38" ht="22.5" customHeight="1" x14ac:dyDescent="0.25">
      <c r="C38" s="103" t="s">
        <v>15</v>
      </c>
      <c r="D38" s="96" t="b">
        <v>0</v>
      </c>
      <c r="E38" s="97" t="b">
        <v>0</v>
      </c>
      <c r="F38" s="97" t="b">
        <v>0</v>
      </c>
      <c r="G38" s="97" t="b">
        <v>0</v>
      </c>
      <c r="H38" s="97" t="b">
        <v>0</v>
      </c>
      <c r="I38" s="97" t="b">
        <v>0</v>
      </c>
      <c r="J38" s="98" t="b">
        <v>0</v>
      </c>
      <c r="K38" s="109" t="b">
        <v>0</v>
      </c>
      <c r="L38" s="110" t="b">
        <v>0</v>
      </c>
      <c r="M38" s="110" t="b">
        <v>0</v>
      </c>
      <c r="N38" s="110" t="b">
        <v>0</v>
      </c>
      <c r="O38" s="110" t="b">
        <v>0</v>
      </c>
      <c r="P38" s="110" t="b">
        <v>0</v>
      </c>
      <c r="Q38" s="111" t="b">
        <v>0</v>
      </c>
      <c r="R38" s="96" t="b">
        <v>0</v>
      </c>
      <c r="S38" s="97" t="b">
        <v>0</v>
      </c>
      <c r="T38" s="97" t="b">
        <v>0</v>
      </c>
      <c r="U38" s="97" t="b">
        <v>0</v>
      </c>
      <c r="V38" s="97" t="b">
        <v>0</v>
      </c>
      <c r="W38" s="97" t="b">
        <v>0</v>
      </c>
      <c r="X38" s="98" t="b">
        <v>0</v>
      </c>
      <c r="Y38" s="109" t="b">
        <v>0</v>
      </c>
      <c r="Z38" s="110" t="b">
        <v>0</v>
      </c>
      <c r="AA38" s="110" t="b">
        <v>0</v>
      </c>
      <c r="AB38" s="110" t="b">
        <v>0</v>
      </c>
      <c r="AC38" s="110" t="b">
        <v>0</v>
      </c>
      <c r="AD38" s="110" t="b">
        <v>0</v>
      </c>
      <c r="AE38" s="111" t="b">
        <v>0</v>
      </c>
      <c r="AF38" s="96" t="b">
        <v>0</v>
      </c>
      <c r="AG38" s="97" t="b">
        <v>0</v>
      </c>
      <c r="AH38" s="98" t="b">
        <v>0</v>
      </c>
      <c r="AJ38" s="23">
        <f t="shared" ref="AJ38:AJ43" si="6">COUNTA(D38:AH38)</f>
        <v>31</v>
      </c>
      <c r="AK38" s="23">
        <f t="shared" ref="AK38:AK43" si="7">COUNTIF(D38:AH38, TRUE)</f>
        <v>0</v>
      </c>
      <c r="AL38" s="24">
        <f t="shared" ref="AL38:AL43" si="8">AK38/AJ38</f>
        <v>0</v>
      </c>
    </row>
    <row r="39" spans="3:38" ht="22.5" customHeight="1" x14ac:dyDescent="0.25">
      <c r="C39" s="103" t="s">
        <v>16</v>
      </c>
      <c r="D39" s="96" t="b">
        <v>0</v>
      </c>
      <c r="E39" s="97" t="b">
        <v>0</v>
      </c>
      <c r="F39" s="97" t="b">
        <v>0</v>
      </c>
      <c r="G39" s="97" t="b">
        <v>0</v>
      </c>
      <c r="H39" s="97" t="b">
        <v>0</v>
      </c>
      <c r="I39" s="97" t="b">
        <v>0</v>
      </c>
      <c r="J39" s="98" t="b">
        <v>0</v>
      </c>
      <c r="K39" s="109" t="b">
        <v>0</v>
      </c>
      <c r="L39" s="110" t="b">
        <v>0</v>
      </c>
      <c r="M39" s="110" t="b">
        <v>0</v>
      </c>
      <c r="N39" s="110" t="b">
        <v>0</v>
      </c>
      <c r="O39" s="110" t="b">
        <v>0</v>
      </c>
      <c r="P39" s="110" t="b">
        <v>0</v>
      </c>
      <c r="Q39" s="111" t="b">
        <v>0</v>
      </c>
      <c r="R39" s="96" t="b">
        <v>0</v>
      </c>
      <c r="S39" s="97" t="b">
        <v>0</v>
      </c>
      <c r="T39" s="97" t="b">
        <v>0</v>
      </c>
      <c r="U39" s="97" t="b">
        <v>0</v>
      </c>
      <c r="V39" s="97" t="b">
        <v>0</v>
      </c>
      <c r="W39" s="97" t="b">
        <v>0</v>
      </c>
      <c r="X39" s="98" t="b">
        <v>0</v>
      </c>
      <c r="Y39" s="109" t="b">
        <v>0</v>
      </c>
      <c r="Z39" s="110" t="b">
        <v>0</v>
      </c>
      <c r="AA39" s="110" t="b">
        <v>0</v>
      </c>
      <c r="AB39" s="110" t="b">
        <v>0</v>
      </c>
      <c r="AC39" s="110" t="b">
        <v>0</v>
      </c>
      <c r="AD39" s="110" t="b">
        <v>0</v>
      </c>
      <c r="AE39" s="111" t="b">
        <v>0</v>
      </c>
      <c r="AF39" s="96" t="b">
        <v>0</v>
      </c>
      <c r="AG39" s="97" t="b">
        <v>0</v>
      </c>
      <c r="AH39" s="98" t="b">
        <v>0</v>
      </c>
      <c r="AJ39" s="23">
        <f t="shared" si="6"/>
        <v>31</v>
      </c>
      <c r="AK39" s="23">
        <f>COUNTIF(D39:AH39, TRUE)</f>
        <v>0</v>
      </c>
      <c r="AL39" s="24">
        <f t="shared" si="8"/>
        <v>0</v>
      </c>
    </row>
    <row r="40" spans="3:38" ht="22.5" customHeight="1" x14ac:dyDescent="0.25">
      <c r="C40" s="103" t="s">
        <v>17</v>
      </c>
      <c r="D40" s="96" t="b">
        <v>0</v>
      </c>
      <c r="E40" s="97" t="b">
        <v>0</v>
      </c>
      <c r="F40" s="97" t="b">
        <v>0</v>
      </c>
      <c r="G40" s="97" t="b">
        <v>0</v>
      </c>
      <c r="H40" s="97" t="b">
        <v>0</v>
      </c>
      <c r="I40" s="97" t="b">
        <v>0</v>
      </c>
      <c r="J40" s="98" t="b">
        <v>0</v>
      </c>
      <c r="K40" s="109" t="b">
        <v>0</v>
      </c>
      <c r="L40" s="110" t="b">
        <v>0</v>
      </c>
      <c r="M40" s="110" t="b">
        <v>0</v>
      </c>
      <c r="N40" s="110" t="b">
        <v>0</v>
      </c>
      <c r="O40" s="110" t="b">
        <v>0</v>
      </c>
      <c r="P40" s="110" t="b">
        <v>0</v>
      </c>
      <c r="Q40" s="111" t="b">
        <v>0</v>
      </c>
      <c r="R40" s="96" t="b">
        <v>0</v>
      </c>
      <c r="S40" s="97" t="b">
        <v>0</v>
      </c>
      <c r="T40" s="97" t="b">
        <v>0</v>
      </c>
      <c r="U40" s="97" t="b">
        <v>0</v>
      </c>
      <c r="V40" s="97" t="b">
        <v>0</v>
      </c>
      <c r="W40" s="97" t="b">
        <v>0</v>
      </c>
      <c r="X40" s="98" t="b">
        <v>0</v>
      </c>
      <c r="Y40" s="109" t="b">
        <v>0</v>
      </c>
      <c r="Z40" s="110" t="b">
        <v>0</v>
      </c>
      <c r="AA40" s="110" t="b">
        <v>0</v>
      </c>
      <c r="AB40" s="110" t="b">
        <v>0</v>
      </c>
      <c r="AC40" s="110" t="b">
        <v>0</v>
      </c>
      <c r="AD40" s="110" t="b">
        <v>0</v>
      </c>
      <c r="AE40" s="111" t="b">
        <v>0</v>
      </c>
      <c r="AF40" s="96" t="b">
        <v>0</v>
      </c>
      <c r="AG40" s="97" t="b">
        <v>0</v>
      </c>
      <c r="AH40" s="98" t="b">
        <v>0</v>
      </c>
      <c r="AJ40" s="23">
        <f t="shared" si="6"/>
        <v>31</v>
      </c>
      <c r="AK40" s="23">
        <f t="shared" si="7"/>
        <v>0</v>
      </c>
      <c r="AL40" s="24">
        <f t="shared" si="8"/>
        <v>0</v>
      </c>
    </row>
    <row r="41" spans="3:38" ht="22.5" customHeight="1" x14ac:dyDescent="0.25">
      <c r="C41" s="103" t="s">
        <v>19</v>
      </c>
      <c r="D41" s="96" t="b">
        <v>0</v>
      </c>
      <c r="E41" s="97" t="b">
        <v>0</v>
      </c>
      <c r="F41" s="97" t="b">
        <v>0</v>
      </c>
      <c r="G41" s="97" t="b">
        <v>0</v>
      </c>
      <c r="H41" s="97" t="b">
        <v>0</v>
      </c>
      <c r="I41" s="97" t="b">
        <v>0</v>
      </c>
      <c r="J41" s="98" t="b">
        <v>0</v>
      </c>
      <c r="K41" s="109" t="b">
        <v>0</v>
      </c>
      <c r="L41" s="110" t="b">
        <v>0</v>
      </c>
      <c r="M41" s="110" t="b">
        <v>0</v>
      </c>
      <c r="N41" s="110" t="b">
        <v>0</v>
      </c>
      <c r="O41" s="110" t="b">
        <v>0</v>
      </c>
      <c r="P41" s="110" t="b">
        <v>0</v>
      </c>
      <c r="Q41" s="111" t="b">
        <v>0</v>
      </c>
      <c r="R41" s="96" t="b">
        <v>0</v>
      </c>
      <c r="S41" s="97" t="b">
        <v>0</v>
      </c>
      <c r="T41" s="97" t="b">
        <v>0</v>
      </c>
      <c r="U41" s="97" t="b">
        <v>0</v>
      </c>
      <c r="V41" s="97" t="b">
        <v>0</v>
      </c>
      <c r="W41" s="97" t="b">
        <v>0</v>
      </c>
      <c r="X41" s="98" t="b">
        <v>0</v>
      </c>
      <c r="Y41" s="109" t="b">
        <v>0</v>
      </c>
      <c r="Z41" s="110" t="b">
        <v>0</v>
      </c>
      <c r="AA41" s="110" t="b">
        <v>0</v>
      </c>
      <c r="AB41" s="110" t="b">
        <v>0</v>
      </c>
      <c r="AC41" s="110" t="b">
        <v>0</v>
      </c>
      <c r="AD41" s="110" t="b">
        <v>0</v>
      </c>
      <c r="AE41" s="111" t="b">
        <v>0</v>
      </c>
      <c r="AF41" s="96" t="b">
        <v>0</v>
      </c>
      <c r="AG41" s="97" t="b">
        <v>0</v>
      </c>
      <c r="AH41" s="98" t="b">
        <v>0</v>
      </c>
      <c r="AJ41" s="23">
        <f t="shared" si="6"/>
        <v>31</v>
      </c>
      <c r="AK41" s="23">
        <f t="shared" si="7"/>
        <v>0</v>
      </c>
      <c r="AL41" s="24">
        <f t="shared" si="8"/>
        <v>0</v>
      </c>
    </row>
    <row r="42" spans="3:38" ht="22.5" customHeight="1" x14ac:dyDescent="0.25">
      <c r="C42" s="103" t="s">
        <v>20</v>
      </c>
      <c r="D42" s="96" t="b">
        <v>0</v>
      </c>
      <c r="E42" s="97" t="b">
        <v>0</v>
      </c>
      <c r="F42" s="97" t="b">
        <v>0</v>
      </c>
      <c r="G42" s="97" t="b">
        <v>0</v>
      </c>
      <c r="H42" s="97" t="b">
        <v>0</v>
      </c>
      <c r="I42" s="97" t="b">
        <v>0</v>
      </c>
      <c r="J42" s="98" t="b">
        <v>0</v>
      </c>
      <c r="K42" s="109" t="b">
        <v>0</v>
      </c>
      <c r="L42" s="110" t="b">
        <v>0</v>
      </c>
      <c r="M42" s="110" t="b">
        <v>0</v>
      </c>
      <c r="N42" s="110" t="b">
        <v>0</v>
      </c>
      <c r="O42" s="110" t="b">
        <v>0</v>
      </c>
      <c r="P42" s="110" t="b">
        <v>0</v>
      </c>
      <c r="Q42" s="111" t="b">
        <v>0</v>
      </c>
      <c r="R42" s="96" t="b">
        <v>0</v>
      </c>
      <c r="S42" s="97" t="b">
        <v>0</v>
      </c>
      <c r="T42" s="97" t="b">
        <v>0</v>
      </c>
      <c r="U42" s="97" t="b">
        <v>0</v>
      </c>
      <c r="V42" s="97" t="b">
        <v>0</v>
      </c>
      <c r="W42" s="97" t="b">
        <v>0</v>
      </c>
      <c r="X42" s="98" t="b">
        <v>0</v>
      </c>
      <c r="Y42" s="109" t="b">
        <v>0</v>
      </c>
      <c r="Z42" s="110" t="b">
        <v>0</v>
      </c>
      <c r="AA42" s="110" t="b">
        <v>0</v>
      </c>
      <c r="AB42" s="110" t="b">
        <v>0</v>
      </c>
      <c r="AC42" s="110" t="b">
        <v>0</v>
      </c>
      <c r="AD42" s="110" t="b">
        <v>0</v>
      </c>
      <c r="AE42" s="111" t="b">
        <v>0</v>
      </c>
      <c r="AF42" s="96" t="b">
        <v>0</v>
      </c>
      <c r="AG42" s="97" t="b">
        <v>0</v>
      </c>
      <c r="AH42" s="98" t="b">
        <v>0</v>
      </c>
      <c r="AJ42" s="23">
        <f t="shared" si="6"/>
        <v>31</v>
      </c>
      <c r="AK42" s="23">
        <f t="shared" si="7"/>
        <v>0</v>
      </c>
      <c r="AL42" s="24">
        <f t="shared" si="8"/>
        <v>0</v>
      </c>
    </row>
    <row r="43" spans="3:38" ht="22.5" customHeight="1" x14ac:dyDescent="0.25">
      <c r="C43" s="104" t="s">
        <v>18</v>
      </c>
      <c r="D43" s="99" t="b">
        <v>0</v>
      </c>
      <c r="E43" s="100" t="b">
        <v>0</v>
      </c>
      <c r="F43" s="100" t="b">
        <v>0</v>
      </c>
      <c r="G43" s="100" t="b">
        <v>0</v>
      </c>
      <c r="H43" s="100" t="b">
        <v>0</v>
      </c>
      <c r="I43" s="100" t="b">
        <v>0</v>
      </c>
      <c r="J43" s="101" t="b">
        <v>0</v>
      </c>
      <c r="K43" s="112" t="b">
        <v>0</v>
      </c>
      <c r="L43" s="113" t="b">
        <v>0</v>
      </c>
      <c r="M43" s="113" t="b">
        <v>0</v>
      </c>
      <c r="N43" s="113" t="b">
        <v>0</v>
      </c>
      <c r="O43" s="113" t="b">
        <v>0</v>
      </c>
      <c r="P43" s="113" t="b">
        <v>0</v>
      </c>
      <c r="Q43" s="114" t="b">
        <v>0</v>
      </c>
      <c r="R43" s="99" t="b">
        <v>0</v>
      </c>
      <c r="S43" s="100" t="b">
        <v>0</v>
      </c>
      <c r="T43" s="100" t="b">
        <v>0</v>
      </c>
      <c r="U43" s="100" t="b">
        <v>0</v>
      </c>
      <c r="V43" s="100" t="b">
        <v>0</v>
      </c>
      <c r="W43" s="100" t="b">
        <v>0</v>
      </c>
      <c r="X43" s="101" t="b">
        <v>0</v>
      </c>
      <c r="Y43" s="112" t="b">
        <v>0</v>
      </c>
      <c r="Z43" s="113" t="b">
        <v>0</v>
      </c>
      <c r="AA43" s="113" t="b">
        <v>0</v>
      </c>
      <c r="AB43" s="113" t="b">
        <v>0</v>
      </c>
      <c r="AC43" s="113" t="b">
        <v>0</v>
      </c>
      <c r="AD43" s="113" t="b">
        <v>0</v>
      </c>
      <c r="AE43" s="114" t="b">
        <v>0</v>
      </c>
      <c r="AF43" s="99" t="b">
        <v>0</v>
      </c>
      <c r="AG43" s="100" t="b">
        <v>0</v>
      </c>
      <c r="AH43" s="101" t="b">
        <v>0</v>
      </c>
      <c r="AJ43" s="23">
        <f t="shared" si="6"/>
        <v>31</v>
      </c>
      <c r="AK43" s="23">
        <f t="shared" si="7"/>
        <v>0</v>
      </c>
      <c r="AL43" s="24">
        <f t="shared" si="8"/>
        <v>0</v>
      </c>
    </row>
    <row r="45" spans="3:38" ht="22.5" customHeight="1" x14ac:dyDescent="0.25">
      <c r="C45" s="118"/>
      <c r="D45" s="414" t="s">
        <v>45</v>
      </c>
      <c r="E45" s="414"/>
      <c r="F45" s="414"/>
      <c r="G45" s="414"/>
      <c r="H45" s="414"/>
      <c r="I45" s="414"/>
      <c r="J45" s="414"/>
      <c r="K45" s="119"/>
      <c r="L45" s="119"/>
      <c r="M45" s="119"/>
      <c r="N45" s="120" t="s">
        <v>21</v>
      </c>
      <c r="O45" s="119"/>
      <c r="P45" s="119"/>
      <c r="Q45" s="119"/>
      <c r="R45" s="119"/>
      <c r="S45" s="120" t="s">
        <v>23</v>
      </c>
      <c r="T45" s="119"/>
      <c r="U45" s="121"/>
      <c r="V45" s="119"/>
      <c r="W45" s="119"/>
      <c r="X45" s="120" t="s">
        <v>27</v>
      </c>
      <c r="Y45" s="119"/>
      <c r="Z45" s="119"/>
      <c r="AA45" s="119"/>
      <c r="AB45" s="120" t="s">
        <v>28</v>
      </c>
      <c r="AC45" s="119"/>
      <c r="AD45" s="119"/>
      <c r="AE45" s="119"/>
      <c r="AF45" s="119"/>
      <c r="AG45" s="119"/>
    </row>
    <row r="46" spans="3:38" ht="22.5" customHeight="1" x14ac:dyDescent="0.25">
      <c r="C46" s="122"/>
      <c r="D46" s="415"/>
      <c r="E46" s="415"/>
      <c r="F46" s="415"/>
      <c r="G46" s="415"/>
      <c r="H46" s="415"/>
      <c r="I46" s="415"/>
      <c r="J46" s="415"/>
      <c r="K46" s="123"/>
      <c r="L46" s="123"/>
      <c r="M46" s="123"/>
      <c r="N46" s="124">
        <f>COUNTA(C51:C57)</f>
        <v>7</v>
      </c>
      <c r="O46" s="123"/>
      <c r="P46" s="123"/>
      <c r="Q46" s="123"/>
      <c r="R46" s="123"/>
      <c r="S46" s="124">
        <f>COUNTIF(D51:AG57,TRUE)</f>
        <v>0</v>
      </c>
      <c r="T46" s="123"/>
      <c r="U46" s="125"/>
      <c r="V46" s="123"/>
      <c r="W46" s="416">
        <f>COUNTIF(D51:AG57, TRUE)/(COUNTA(D50:AG50)*COUNTA(C51:C57))</f>
        <v>0</v>
      </c>
      <c r="X46" s="416"/>
      <c r="Y46" s="416"/>
      <c r="Z46" s="123"/>
      <c r="AA46" s="123"/>
      <c r="AB46" s="126">
        <f>COUNTIF(D51:AG57, TRUE)/(COUNTA(D50:AG50)*COUNTA(C51:C57))</f>
        <v>0</v>
      </c>
      <c r="AC46" s="123"/>
      <c r="AD46" s="123"/>
      <c r="AE46" s="123"/>
      <c r="AF46" s="123"/>
      <c r="AG46" s="123"/>
    </row>
    <row r="48" spans="3:38" ht="22.5" customHeight="1" x14ac:dyDescent="0.25">
      <c r="C48" s="407" t="s">
        <v>1</v>
      </c>
      <c r="D48" s="408" t="s">
        <v>9</v>
      </c>
      <c r="E48" s="408"/>
      <c r="F48" s="408"/>
      <c r="G48" s="408"/>
      <c r="H48" s="408"/>
      <c r="I48" s="408"/>
      <c r="J48" s="408"/>
      <c r="K48" s="409" t="s">
        <v>10</v>
      </c>
      <c r="L48" s="409"/>
      <c r="M48" s="409"/>
      <c r="N48" s="409"/>
      <c r="O48" s="409"/>
      <c r="P48" s="409"/>
      <c r="Q48" s="409"/>
      <c r="R48" s="408" t="s">
        <v>11</v>
      </c>
      <c r="S48" s="408"/>
      <c r="T48" s="408"/>
      <c r="U48" s="408"/>
      <c r="V48" s="408"/>
      <c r="W48" s="408"/>
      <c r="X48" s="408"/>
      <c r="Y48" s="409" t="s">
        <v>12</v>
      </c>
      <c r="Z48" s="409"/>
      <c r="AA48" s="409"/>
      <c r="AB48" s="409"/>
      <c r="AC48" s="409"/>
      <c r="AD48" s="409"/>
      <c r="AE48" s="409"/>
      <c r="AF48" s="408" t="s">
        <v>13</v>
      </c>
      <c r="AG48" s="408"/>
      <c r="AI48" s="410" t="s">
        <v>24</v>
      </c>
      <c r="AJ48" s="410"/>
      <c r="AK48" s="410"/>
    </row>
    <row r="49" spans="3:38" ht="22.5" customHeight="1" x14ac:dyDescent="0.25">
      <c r="C49" s="407"/>
      <c r="D49" s="130" t="s">
        <v>44</v>
      </c>
      <c r="E49" s="130" t="s">
        <v>7</v>
      </c>
      <c r="F49" s="130" t="s">
        <v>8</v>
      </c>
      <c r="G49" s="130" t="s">
        <v>2</v>
      </c>
      <c r="H49" s="130" t="s">
        <v>3</v>
      </c>
      <c r="I49" s="130" t="s">
        <v>4</v>
      </c>
      <c r="J49" s="130" t="s">
        <v>5</v>
      </c>
      <c r="K49" s="140" t="s">
        <v>44</v>
      </c>
      <c r="L49" s="140" t="s">
        <v>7</v>
      </c>
      <c r="M49" s="140" t="s">
        <v>8</v>
      </c>
      <c r="N49" s="140" t="s">
        <v>2</v>
      </c>
      <c r="O49" s="140" t="s">
        <v>3</v>
      </c>
      <c r="P49" s="140" t="s">
        <v>4</v>
      </c>
      <c r="Q49" s="140" t="s">
        <v>5</v>
      </c>
      <c r="R49" s="130" t="s">
        <v>44</v>
      </c>
      <c r="S49" s="130" t="s">
        <v>7</v>
      </c>
      <c r="T49" s="130" t="s">
        <v>8</v>
      </c>
      <c r="U49" s="130" t="s">
        <v>2</v>
      </c>
      <c r="V49" s="130" t="s">
        <v>3</v>
      </c>
      <c r="W49" s="130" t="s">
        <v>4</v>
      </c>
      <c r="X49" s="130" t="s">
        <v>5</v>
      </c>
      <c r="Y49" s="140" t="s">
        <v>44</v>
      </c>
      <c r="Z49" s="140" t="s">
        <v>7</v>
      </c>
      <c r="AA49" s="140" t="s">
        <v>8</v>
      </c>
      <c r="AB49" s="140" t="s">
        <v>2</v>
      </c>
      <c r="AC49" s="140" t="s">
        <v>3</v>
      </c>
      <c r="AD49" s="140" t="s">
        <v>4</v>
      </c>
      <c r="AE49" s="140" t="s">
        <v>5</v>
      </c>
      <c r="AF49" s="130" t="s">
        <v>44</v>
      </c>
      <c r="AG49" s="130" t="s">
        <v>7</v>
      </c>
      <c r="AI49" s="410"/>
      <c r="AJ49" s="410"/>
      <c r="AK49" s="410"/>
    </row>
    <row r="50" spans="3:38" ht="22.5" customHeight="1" x14ac:dyDescent="0.25">
      <c r="C50" s="407"/>
      <c r="D50" s="130">
        <v>1</v>
      </c>
      <c r="E50" s="130">
        <v>2</v>
      </c>
      <c r="F50" s="130">
        <v>3</v>
      </c>
      <c r="G50" s="130">
        <v>4</v>
      </c>
      <c r="H50" s="130">
        <v>5</v>
      </c>
      <c r="I50" s="130">
        <v>6</v>
      </c>
      <c r="J50" s="130">
        <v>7</v>
      </c>
      <c r="K50" s="140">
        <v>8</v>
      </c>
      <c r="L50" s="140">
        <v>9</v>
      </c>
      <c r="M50" s="140">
        <v>10</v>
      </c>
      <c r="N50" s="140">
        <v>11</v>
      </c>
      <c r="O50" s="140">
        <v>12</v>
      </c>
      <c r="P50" s="140">
        <v>13</v>
      </c>
      <c r="Q50" s="140">
        <v>14</v>
      </c>
      <c r="R50" s="130">
        <v>15</v>
      </c>
      <c r="S50" s="130">
        <v>16</v>
      </c>
      <c r="T50" s="130">
        <v>17</v>
      </c>
      <c r="U50" s="130">
        <v>18</v>
      </c>
      <c r="V50" s="130">
        <v>19</v>
      </c>
      <c r="W50" s="130">
        <v>20</v>
      </c>
      <c r="X50" s="130">
        <v>21</v>
      </c>
      <c r="Y50" s="140">
        <v>22</v>
      </c>
      <c r="Z50" s="140">
        <v>23</v>
      </c>
      <c r="AA50" s="140">
        <v>24</v>
      </c>
      <c r="AB50" s="140">
        <v>25</v>
      </c>
      <c r="AC50" s="140">
        <v>26</v>
      </c>
      <c r="AD50" s="140">
        <v>27</v>
      </c>
      <c r="AE50" s="140">
        <v>28</v>
      </c>
      <c r="AF50" s="130">
        <v>29</v>
      </c>
      <c r="AG50" s="130">
        <v>30</v>
      </c>
      <c r="AI50" s="150" t="s">
        <v>25</v>
      </c>
      <c r="AJ50" s="150" t="s">
        <v>26</v>
      </c>
      <c r="AK50" s="150" t="s">
        <v>27</v>
      </c>
    </row>
    <row r="51" spans="3:38" ht="22.5" customHeight="1" x14ac:dyDescent="0.25">
      <c r="C51" s="127" t="s">
        <v>14</v>
      </c>
      <c r="D51" s="131" t="b">
        <v>0</v>
      </c>
      <c r="E51" s="132" t="b">
        <v>0</v>
      </c>
      <c r="F51" s="132" t="b">
        <v>0</v>
      </c>
      <c r="G51" s="132" t="b">
        <v>0</v>
      </c>
      <c r="H51" s="132" t="b">
        <v>0</v>
      </c>
      <c r="I51" s="132" t="b">
        <v>0</v>
      </c>
      <c r="J51" s="133" t="b">
        <v>0</v>
      </c>
      <c r="K51" s="141" t="b">
        <v>0</v>
      </c>
      <c r="L51" s="142" t="b">
        <v>0</v>
      </c>
      <c r="M51" s="142" t="b">
        <v>0</v>
      </c>
      <c r="N51" s="142" t="b">
        <v>0</v>
      </c>
      <c r="O51" s="142" t="b">
        <v>0</v>
      </c>
      <c r="P51" s="142" t="b">
        <v>0</v>
      </c>
      <c r="Q51" s="143" t="b">
        <v>0</v>
      </c>
      <c r="R51" s="131" t="b">
        <v>0</v>
      </c>
      <c r="S51" s="132" t="b">
        <v>0</v>
      </c>
      <c r="T51" s="132" t="b">
        <v>0</v>
      </c>
      <c r="U51" s="132" t="b">
        <v>0</v>
      </c>
      <c r="V51" s="132" t="b">
        <v>0</v>
      </c>
      <c r="W51" s="132" t="b">
        <v>0</v>
      </c>
      <c r="X51" s="133" t="b">
        <v>0</v>
      </c>
      <c r="Y51" s="141" t="b">
        <v>0</v>
      </c>
      <c r="Z51" s="142" t="b">
        <v>0</v>
      </c>
      <c r="AA51" s="142" t="b">
        <v>0</v>
      </c>
      <c r="AB51" s="142" t="b">
        <v>0</v>
      </c>
      <c r="AC51" s="142" t="b">
        <v>0</v>
      </c>
      <c r="AD51" s="142" t="b">
        <v>0</v>
      </c>
      <c r="AE51" s="143" t="b">
        <v>0</v>
      </c>
      <c r="AF51" s="131" t="b">
        <v>0</v>
      </c>
      <c r="AG51" s="133" t="b">
        <v>0</v>
      </c>
      <c r="AI51" s="23">
        <f>COUNTA(D51:AG51)</f>
        <v>30</v>
      </c>
      <c r="AJ51" s="23">
        <f t="shared" ref="AJ51:AJ57" si="9">COUNTIF(D51:AG51, TRUE)</f>
        <v>0</v>
      </c>
      <c r="AK51" s="24">
        <f>AJ51/AI51</f>
        <v>0</v>
      </c>
    </row>
    <row r="52" spans="3:38" ht="22.5" customHeight="1" x14ac:dyDescent="0.25">
      <c r="C52" s="128" t="s">
        <v>15</v>
      </c>
      <c r="D52" s="134" t="b">
        <v>0</v>
      </c>
      <c r="E52" s="135" t="b">
        <v>0</v>
      </c>
      <c r="F52" s="135" t="b">
        <v>0</v>
      </c>
      <c r="G52" s="135" t="b">
        <v>0</v>
      </c>
      <c r="H52" s="135" t="b">
        <v>0</v>
      </c>
      <c r="I52" s="135" t="b">
        <v>0</v>
      </c>
      <c r="J52" s="136" t="b">
        <v>0</v>
      </c>
      <c r="K52" s="144" t="b">
        <v>0</v>
      </c>
      <c r="L52" s="145" t="b">
        <v>0</v>
      </c>
      <c r="M52" s="145" t="b">
        <v>0</v>
      </c>
      <c r="N52" s="145" t="b">
        <v>0</v>
      </c>
      <c r="O52" s="145" t="b">
        <v>0</v>
      </c>
      <c r="P52" s="145" t="b">
        <v>0</v>
      </c>
      <c r="Q52" s="146" t="b">
        <v>0</v>
      </c>
      <c r="R52" s="134" t="b">
        <v>0</v>
      </c>
      <c r="S52" s="135" t="b">
        <v>0</v>
      </c>
      <c r="T52" s="135" t="b">
        <v>0</v>
      </c>
      <c r="U52" s="135" t="b">
        <v>0</v>
      </c>
      <c r="V52" s="135" t="b">
        <v>0</v>
      </c>
      <c r="W52" s="135" t="b">
        <v>0</v>
      </c>
      <c r="X52" s="136" t="b">
        <v>0</v>
      </c>
      <c r="Y52" s="144" t="b">
        <v>0</v>
      </c>
      <c r="Z52" s="145" t="b">
        <v>0</v>
      </c>
      <c r="AA52" s="145" t="b">
        <v>0</v>
      </c>
      <c r="AB52" s="145" t="b">
        <v>0</v>
      </c>
      <c r="AC52" s="145" t="b">
        <v>0</v>
      </c>
      <c r="AD52" s="145" t="b">
        <v>0</v>
      </c>
      <c r="AE52" s="146" t="b">
        <v>0</v>
      </c>
      <c r="AF52" s="134" t="b">
        <v>0</v>
      </c>
      <c r="AG52" s="136" t="b">
        <v>0</v>
      </c>
      <c r="AI52" s="23">
        <f>COUNTA(D52:AG52)</f>
        <v>30</v>
      </c>
      <c r="AJ52" s="23">
        <f t="shared" si="9"/>
        <v>0</v>
      </c>
      <c r="AK52" s="24">
        <f t="shared" ref="AK52:AK57" si="10">AJ52/AI52</f>
        <v>0</v>
      </c>
    </row>
    <row r="53" spans="3:38" ht="22.5" customHeight="1" x14ac:dyDescent="0.25">
      <c r="C53" s="128" t="s">
        <v>16</v>
      </c>
      <c r="D53" s="134" t="b">
        <v>0</v>
      </c>
      <c r="E53" s="135" t="b">
        <v>0</v>
      </c>
      <c r="F53" s="135" t="b">
        <v>0</v>
      </c>
      <c r="G53" s="135" t="b">
        <v>0</v>
      </c>
      <c r="H53" s="135" t="b">
        <v>0</v>
      </c>
      <c r="I53" s="135" t="b">
        <v>0</v>
      </c>
      <c r="J53" s="136" t="b">
        <v>0</v>
      </c>
      <c r="K53" s="144" t="b">
        <v>0</v>
      </c>
      <c r="L53" s="145" t="b">
        <v>0</v>
      </c>
      <c r="M53" s="145" t="b">
        <v>0</v>
      </c>
      <c r="N53" s="145" t="b">
        <v>0</v>
      </c>
      <c r="O53" s="145" t="b">
        <v>0</v>
      </c>
      <c r="P53" s="145" t="b">
        <v>0</v>
      </c>
      <c r="Q53" s="146" t="b">
        <v>0</v>
      </c>
      <c r="R53" s="134" t="b">
        <v>0</v>
      </c>
      <c r="S53" s="135" t="b">
        <v>0</v>
      </c>
      <c r="T53" s="135" t="b">
        <v>0</v>
      </c>
      <c r="U53" s="135" t="b">
        <v>0</v>
      </c>
      <c r="V53" s="135" t="b">
        <v>0</v>
      </c>
      <c r="W53" s="135" t="b">
        <v>0</v>
      </c>
      <c r="X53" s="136" t="b">
        <v>0</v>
      </c>
      <c r="Y53" s="144" t="b">
        <v>0</v>
      </c>
      <c r="Z53" s="145" t="b">
        <v>0</v>
      </c>
      <c r="AA53" s="145" t="b">
        <v>0</v>
      </c>
      <c r="AB53" s="145" t="b">
        <v>0</v>
      </c>
      <c r="AC53" s="145" t="b">
        <v>0</v>
      </c>
      <c r="AD53" s="145" t="b">
        <v>0</v>
      </c>
      <c r="AE53" s="146" t="b">
        <v>0</v>
      </c>
      <c r="AF53" s="134" t="b">
        <v>0</v>
      </c>
      <c r="AG53" s="136" t="b">
        <v>0</v>
      </c>
      <c r="AI53" s="23">
        <f t="shared" ref="AI53:AI57" si="11">COUNTA(D53:AG53)</f>
        <v>30</v>
      </c>
      <c r="AJ53" s="23">
        <f t="shared" si="9"/>
        <v>0</v>
      </c>
      <c r="AK53" s="24">
        <f t="shared" si="10"/>
        <v>0</v>
      </c>
    </row>
    <row r="54" spans="3:38" ht="22.5" customHeight="1" x14ac:dyDescent="0.25">
      <c r="C54" s="128" t="s">
        <v>17</v>
      </c>
      <c r="D54" s="134" t="b">
        <v>0</v>
      </c>
      <c r="E54" s="135" t="b">
        <v>0</v>
      </c>
      <c r="F54" s="135" t="b">
        <v>0</v>
      </c>
      <c r="G54" s="135" t="b">
        <v>0</v>
      </c>
      <c r="H54" s="135" t="b">
        <v>0</v>
      </c>
      <c r="I54" s="135" t="b">
        <v>0</v>
      </c>
      <c r="J54" s="136" t="b">
        <v>0</v>
      </c>
      <c r="K54" s="144" t="b">
        <v>0</v>
      </c>
      <c r="L54" s="145" t="b">
        <v>0</v>
      </c>
      <c r="M54" s="145" t="b">
        <v>0</v>
      </c>
      <c r="N54" s="145" t="b">
        <v>0</v>
      </c>
      <c r="O54" s="145" t="b">
        <v>0</v>
      </c>
      <c r="P54" s="145" t="b">
        <v>0</v>
      </c>
      <c r="Q54" s="146" t="b">
        <v>0</v>
      </c>
      <c r="R54" s="134" t="b">
        <v>0</v>
      </c>
      <c r="S54" s="135" t="b">
        <v>0</v>
      </c>
      <c r="T54" s="135" t="b">
        <v>0</v>
      </c>
      <c r="U54" s="135" t="b">
        <v>0</v>
      </c>
      <c r="V54" s="135" t="b">
        <v>0</v>
      </c>
      <c r="W54" s="135" t="b">
        <v>0</v>
      </c>
      <c r="X54" s="136" t="b">
        <v>0</v>
      </c>
      <c r="Y54" s="144" t="b">
        <v>0</v>
      </c>
      <c r="Z54" s="145" t="b">
        <v>0</v>
      </c>
      <c r="AA54" s="145" t="b">
        <v>0</v>
      </c>
      <c r="AB54" s="145" t="b">
        <v>0</v>
      </c>
      <c r="AC54" s="145" t="b">
        <v>0</v>
      </c>
      <c r="AD54" s="145" t="b">
        <v>0</v>
      </c>
      <c r="AE54" s="146" t="b">
        <v>0</v>
      </c>
      <c r="AF54" s="134" t="b">
        <v>0</v>
      </c>
      <c r="AG54" s="136" t="b">
        <v>0</v>
      </c>
      <c r="AI54" s="23">
        <f t="shared" si="11"/>
        <v>30</v>
      </c>
      <c r="AJ54" s="23">
        <f t="shared" si="9"/>
        <v>0</v>
      </c>
      <c r="AK54" s="24">
        <f t="shared" si="10"/>
        <v>0</v>
      </c>
    </row>
    <row r="55" spans="3:38" ht="22.5" customHeight="1" x14ac:dyDescent="0.25">
      <c r="C55" s="128" t="s">
        <v>19</v>
      </c>
      <c r="D55" s="134" t="b">
        <v>0</v>
      </c>
      <c r="E55" s="135" t="b">
        <v>0</v>
      </c>
      <c r="F55" s="135" t="b">
        <v>0</v>
      </c>
      <c r="G55" s="135" t="b">
        <v>0</v>
      </c>
      <c r="H55" s="135" t="b">
        <v>0</v>
      </c>
      <c r="I55" s="135" t="b">
        <v>0</v>
      </c>
      <c r="J55" s="136" t="b">
        <v>0</v>
      </c>
      <c r="K55" s="144" t="b">
        <v>0</v>
      </c>
      <c r="L55" s="145" t="b">
        <v>0</v>
      </c>
      <c r="M55" s="145" t="b">
        <v>0</v>
      </c>
      <c r="N55" s="145" t="b">
        <v>0</v>
      </c>
      <c r="O55" s="145" t="b">
        <v>0</v>
      </c>
      <c r="P55" s="145" t="b">
        <v>0</v>
      </c>
      <c r="Q55" s="146" t="b">
        <v>0</v>
      </c>
      <c r="R55" s="134" t="b">
        <v>0</v>
      </c>
      <c r="S55" s="135" t="b">
        <v>0</v>
      </c>
      <c r="T55" s="135" t="b">
        <v>0</v>
      </c>
      <c r="U55" s="135" t="b">
        <v>0</v>
      </c>
      <c r="V55" s="135" t="b">
        <v>0</v>
      </c>
      <c r="W55" s="135" t="b">
        <v>0</v>
      </c>
      <c r="X55" s="136" t="b">
        <v>0</v>
      </c>
      <c r="Y55" s="144" t="b">
        <v>0</v>
      </c>
      <c r="Z55" s="145" t="b">
        <v>0</v>
      </c>
      <c r="AA55" s="145" t="b">
        <v>0</v>
      </c>
      <c r="AB55" s="145" t="b">
        <v>0</v>
      </c>
      <c r="AC55" s="145" t="b">
        <v>0</v>
      </c>
      <c r="AD55" s="145" t="b">
        <v>0</v>
      </c>
      <c r="AE55" s="146" t="b">
        <v>0</v>
      </c>
      <c r="AF55" s="134" t="b">
        <v>0</v>
      </c>
      <c r="AG55" s="136" t="b">
        <v>0</v>
      </c>
      <c r="AI55" s="23">
        <f t="shared" si="11"/>
        <v>30</v>
      </c>
      <c r="AJ55" s="23">
        <f t="shared" si="9"/>
        <v>0</v>
      </c>
      <c r="AK55" s="24">
        <f t="shared" si="10"/>
        <v>0</v>
      </c>
    </row>
    <row r="56" spans="3:38" ht="22.5" customHeight="1" x14ac:dyDescent="0.25">
      <c r="C56" s="128" t="s">
        <v>20</v>
      </c>
      <c r="D56" s="134" t="b">
        <v>0</v>
      </c>
      <c r="E56" s="135" t="b">
        <v>0</v>
      </c>
      <c r="F56" s="135" t="b">
        <v>0</v>
      </c>
      <c r="G56" s="135" t="b">
        <v>0</v>
      </c>
      <c r="H56" s="135" t="b">
        <v>0</v>
      </c>
      <c r="I56" s="135" t="b">
        <v>0</v>
      </c>
      <c r="J56" s="136" t="b">
        <v>0</v>
      </c>
      <c r="K56" s="144" t="b">
        <v>0</v>
      </c>
      <c r="L56" s="145" t="b">
        <v>0</v>
      </c>
      <c r="M56" s="145" t="b">
        <v>0</v>
      </c>
      <c r="N56" s="145" t="b">
        <v>0</v>
      </c>
      <c r="O56" s="145" t="b">
        <v>0</v>
      </c>
      <c r="P56" s="145" t="b">
        <v>0</v>
      </c>
      <c r="Q56" s="146" t="b">
        <v>0</v>
      </c>
      <c r="R56" s="134" t="b">
        <v>0</v>
      </c>
      <c r="S56" s="135" t="b">
        <v>0</v>
      </c>
      <c r="T56" s="135" t="b">
        <v>0</v>
      </c>
      <c r="U56" s="135" t="b">
        <v>0</v>
      </c>
      <c r="V56" s="135" t="b">
        <v>0</v>
      </c>
      <c r="W56" s="135" t="b">
        <v>0</v>
      </c>
      <c r="X56" s="136" t="b">
        <v>0</v>
      </c>
      <c r="Y56" s="144" t="b">
        <v>0</v>
      </c>
      <c r="Z56" s="145" t="b">
        <v>0</v>
      </c>
      <c r="AA56" s="145" t="b">
        <v>0</v>
      </c>
      <c r="AB56" s="145" t="b">
        <v>0</v>
      </c>
      <c r="AC56" s="145" t="b">
        <v>0</v>
      </c>
      <c r="AD56" s="145" t="b">
        <v>0</v>
      </c>
      <c r="AE56" s="146" t="b">
        <v>0</v>
      </c>
      <c r="AF56" s="134" t="b">
        <v>0</v>
      </c>
      <c r="AG56" s="136" t="b">
        <v>0</v>
      </c>
      <c r="AI56" s="23">
        <f t="shared" si="11"/>
        <v>30</v>
      </c>
      <c r="AJ56" s="23">
        <f t="shared" si="9"/>
        <v>0</v>
      </c>
      <c r="AK56" s="24">
        <f t="shared" si="10"/>
        <v>0</v>
      </c>
    </row>
    <row r="57" spans="3:38" ht="22.5" customHeight="1" x14ac:dyDescent="0.25">
      <c r="C57" s="129" t="s">
        <v>18</v>
      </c>
      <c r="D57" s="137" t="b">
        <v>0</v>
      </c>
      <c r="E57" s="138" t="b">
        <v>0</v>
      </c>
      <c r="F57" s="138" t="b">
        <v>0</v>
      </c>
      <c r="G57" s="138" t="b">
        <v>0</v>
      </c>
      <c r="H57" s="138" t="b">
        <v>0</v>
      </c>
      <c r="I57" s="138" t="b">
        <v>0</v>
      </c>
      <c r="J57" s="139" t="b">
        <v>0</v>
      </c>
      <c r="K57" s="147" t="b">
        <v>0</v>
      </c>
      <c r="L57" s="148" t="b">
        <v>0</v>
      </c>
      <c r="M57" s="148" t="b">
        <v>0</v>
      </c>
      <c r="N57" s="148" t="b">
        <v>0</v>
      </c>
      <c r="O57" s="148" t="b">
        <v>0</v>
      </c>
      <c r="P57" s="148" t="b">
        <v>0</v>
      </c>
      <c r="Q57" s="149" t="b">
        <v>0</v>
      </c>
      <c r="R57" s="137" t="b">
        <v>0</v>
      </c>
      <c r="S57" s="138" t="b">
        <v>0</v>
      </c>
      <c r="T57" s="138" t="b">
        <v>0</v>
      </c>
      <c r="U57" s="138" t="b">
        <v>0</v>
      </c>
      <c r="V57" s="138" t="b">
        <v>0</v>
      </c>
      <c r="W57" s="138" t="b">
        <v>0</v>
      </c>
      <c r="X57" s="139" t="b">
        <v>0</v>
      </c>
      <c r="Y57" s="147" t="b">
        <v>0</v>
      </c>
      <c r="Z57" s="148" t="b">
        <v>0</v>
      </c>
      <c r="AA57" s="148" t="b">
        <v>0</v>
      </c>
      <c r="AB57" s="148" t="b">
        <v>0</v>
      </c>
      <c r="AC57" s="148" t="b">
        <v>0</v>
      </c>
      <c r="AD57" s="148" t="b">
        <v>0</v>
      </c>
      <c r="AE57" s="149" t="b">
        <v>0</v>
      </c>
      <c r="AF57" s="137" t="b">
        <v>0</v>
      </c>
      <c r="AG57" s="139" t="b">
        <v>0</v>
      </c>
      <c r="AI57" s="23">
        <f t="shared" si="11"/>
        <v>30</v>
      </c>
      <c r="AJ57" s="23">
        <f t="shared" si="9"/>
        <v>0</v>
      </c>
      <c r="AK57" s="24">
        <f t="shared" si="10"/>
        <v>0</v>
      </c>
    </row>
    <row r="59" spans="3:38" ht="22.5" customHeight="1" x14ac:dyDescent="0.25">
      <c r="C59" s="151"/>
      <c r="D59" s="411" t="s">
        <v>46</v>
      </c>
      <c r="E59" s="411"/>
      <c r="F59" s="411"/>
      <c r="G59" s="411"/>
      <c r="H59" s="411"/>
      <c r="I59" s="411"/>
      <c r="J59" s="411"/>
      <c r="K59" s="152"/>
      <c r="L59" s="152"/>
      <c r="M59" s="152"/>
      <c r="N59" s="153" t="s">
        <v>21</v>
      </c>
      <c r="O59" s="152"/>
      <c r="P59" s="152"/>
      <c r="Q59" s="152"/>
      <c r="R59" s="152"/>
      <c r="S59" s="153" t="s">
        <v>23</v>
      </c>
      <c r="T59" s="152"/>
      <c r="U59" s="154"/>
      <c r="V59" s="152"/>
      <c r="W59" s="152"/>
      <c r="X59" s="153" t="s">
        <v>27</v>
      </c>
      <c r="Y59" s="152"/>
      <c r="Z59" s="152"/>
      <c r="AA59" s="152"/>
      <c r="AB59" s="153" t="s">
        <v>28</v>
      </c>
      <c r="AC59" s="152"/>
      <c r="AD59" s="152"/>
      <c r="AE59" s="152"/>
      <c r="AF59" s="152"/>
      <c r="AG59" s="152"/>
      <c r="AH59" s="155"/>
    </row>
    <row r="60" spans="3:38" ht="22.5" customHeight="1" x14ac:dyDescent="0.25">
      <c r="C60" s="156"/>
      <c r="D60" s="412"/>
      <c r="E60" s="412"/>
      <c r="F60" s="412"/>
      <c r="G60" s="412"/>
      <c r="H60" s="412"/>
      <c r="I60" s="412"/>
      <c r="J60" s="412"/>
      <c r="K60" s="157"/>
      <c r="L60" s="157"/>
      <c r="M60" s="157"/>
      <c r="N60" s="158">
        <f>COUNTA(C65:C71)</f>
        <v>7</v>
      </c>
      <c r="O60" s="157"/>
      <c r="P60" s="157"/>
      <c r="Q60" s="157"/>
      <c r="R60" s="157"/>
      <c r="S60" s="158">
        <f>COUNTIF(D65:AH71,TRUE)</f>
        <v>0</v>
      </c>
      <c r="T60" s="157"/>
      <c r="U60" s="159"/>
      <c r="V60" s="157"/>
      <c r="W60" s="413">
        <f>COUNTIF(D65:AH71, TRUE)/(COUNTA(D64:AH64)*COUNTA(C65:C71))</f>
        <v>0</v>
      </c>
      <c r="X60" s="413"/>
      <c r="Y60" s="413"/>
      <c r="Z60" s="157"/>
      <c r="AA60" s="157"/>
      <c r="AB60" s="160">
        <f>COUNTIF(D65:AH71, TRUE)/(COUNTA(D64:AH64)*COUNTA(C65:C71))</f>
        <v>0</v>
      </c>
      <c r="AC60" s="157"/>
      <c r="AD60" s="157"/>
      <c r="AE60" s="157"/>
      <c r="AF60" s="157"/>
      <c r="AG60" s="157"/>
      <c r="AH60" s="161"/>
    </row>
    <row r="62" spans="3:38" ht="22.5" customHeight="1" x14ac:dyDescent="0.25">
      <c r="C62" s="426" t="s">
        <v>1</v>
      </c>
      <c r="D62" s="417" t="s">
        <v>9</v>
      </c>
      <c r="E62" s="417"/>
      <c r="F62" s="417"/>
      <c r="G62" s="417"/>
      <c r="H62" s="417"/>
      <c r="I62" s="417"/>
      <c r="J62" s="417"/>
      <c r="K62" s="427" t="s">
        <v>10</v>
      </c>
      <c r="L62" s="428"/>
      <c r="M62" s="428"/>
      <c r="N62" s="428"/>
      <c r="O62" s="428"/>
      <c r="P62" s="428"/>
      <c r="Q62" s="429"/>
      <c r="R62" s="417" t="s">
        <v>11</v>
      </c>
      <c r="S62" s="417"/>
      <c r="T62" s="417"/>
      <c r="U62" s="417"/>
      <c r="V62" s="417"/>
      <c r="W62" s="417"/>
      <c r="X62" s="417"/>
      <c r="Y62" s="427" t="s">
        <v>12</v>
      </c>
      <c r="Z62" s="428"/>
      <c r="AA62" s="428"/>
      <c r="AB62" s="428"/>
      <c r="AC62" s="428"/>
      <c r="AD62" s="428"/>
      <c r="AE62" s="429"/>
      <c r="AF62" s="417" t="s">
        <v>13</v>
      </c>
      <c r="AG62" s="417"/>
      <c r="AH62" s="417"/>
      <c r="AJ62" s="418" t="s">
        <v>24</v>
      </c>
      <c r="AK62" s="418"/>
      <c r="AL62" s="418"/>
    </row>
    <row r="63" spans="3:38" ht="22.5" customHeight="1" x14ac:dyDescent="0.25">
      <c r="C63" s="426"/>
      <c r="D63" s="165" t="s">
        <v>8</v>
      </c>
      <c r="E63" s="165" t="s">
        <v>2</v>
      </c>
      <c r="F63" s="165" t="s">
        <v>3</v>
      </c>
      <c r="G63" s="165" t="s">
        <v>4</v>
      </c>
      <c r="H63" s="165" t="s">
        <v>5</v>
      </c>
      <c r="I63" s="165" t="s">
        <v>6</v>
      </c>
      <c r="J63" s="165" t="s">
        <v>7</v>
      </c>
      <c r="K63" s="175" t="s">
        <v>8</v>
      </c>
      <c r="L63" s="175" t="s">
        <v>2</v>
      </c>
      <c r="M63" s="175" t="s">
        <v>3</v>
      </c>
      <c r="N63" s="175" t="s">
        <v>4</v>
      </c>
      <c r="O63" s="175" t="s">
        <v>5</v>
      </c>
      <c r="P63" s="175" t="s">
        <v>6</v>
      </c>
      <c r="Q63" s="175" t="s">
        <v>7</v>
      </c>
      <c r="R63" s="165" t="s">
        <v>8</v>
      </c>
      <c r="S63" s="165" t="s">
        <v>2</v>
      </c>
      <c r="T63" s="165" t="s">
        <v>3</v>
      </c>
      <c r="U63" s="165" t="s">
        <v>4</v>
      </c>
      <c r="V63" s="165" t="s">
        <v>5</v>
      </c>
      <c r="W63" s="165" t="s">
        <v>6</v>
      </c>
      <c r="X63" s="165" t="s">
        <v>7</v>
      </c>
      <c r="Y63" s="175" t="s">
        <v>8</v>
      </c>
      <c r="Z63" s="175" t="s">
        <v>2</v>
      </c>
      <c r="AA63" s="175" t="s">
        <v>3</v>
      </c>
      <c r="AB63" s="175" t="s">
        <v>4</v>
      </c>
      <c r="AC63" s="175" t="s">
        <v>5</v>
      </c>
      <c r="AD63" s="175" t="s">
        <v>6</v>
      </c>
      <c r="AE63" s="175" t="s">
        <v>7</v>
      </c>
      <c r="AF63" s="165" t="s">
        <v>8</v>
      </c>
      <c r="AG63" s="165" t="s">
        <v>2</v>
      </c>
      <c r="AH63" s="165" t="s">
        <v>3</v>
      </c>
      <c r="AJ63" s="418"/>
      <c r="AK63" s="418"/>
      <c r="AL63" s="418"/>
    </row>
    <row r="64" spans="3:38" ht="22.5" customHeight="1" x14ac:dyDescent="0.25">
      <c r="C64" s="426"/>
      <c r="D64" s="165">
        <v>1</v>
      </c>
      <c r="E64" s="165">
        <v>2</v>
      </c>
      <c r="F64" s="165">
        <v>3</v>
      </c>
      <c r="G64" s="165">
        <v>4</v>
      </c>
      <c r="H64" s="165">
        <v>5</v>
      </c>
      <c r="I64" s="165">
        <v>6</v>
      </c>
      <c r="J64" s="165">
        <v>7</v>
      </c>
      <c r="K64" s="175">
        <v>8</v>
      </c>
      <c r="L64" s="175">
        <v>9</v>
      </c>
      <c r="M64" s="175">
        <v>10</v>
      </c>
      <c r="N64" s="175">
        <v>11</v>
      </c>
      <c r="O64" s="175">
        <v>12</v>
      </c>
      <c r="P64" s="175">
        <v>13</v>
      </c>
      <c r="Q64" s="175">
        <v>14</v>
      </c>
      <c r="R64" s="165">
        <v>15</v>
      </c>
      <c r="S64" s="165">
        <v>16</v>
      </c>
      <c r="T64" s="165">
        <v>17</v>
      </c>
      <c r="U64" s="165">
        <v>18</v>
      </c>
      <c r="V64" s="165">
        <v>19</v>
      </c>
      <c r="W64" s="165">
        <v>20</v>
      </c>
      <c r="X64" s="165">
        <v>21</v>
      </c>
      <c r="Y64" s="175">
        <v>22</v>
      </c>
      <c r="Z64" s="175">
        <v>23</v>
      </c>
      <c r="AA64" s="175">
        <v>24</v>
      </c>
      <c r="AB64" s="175">
        <v>25</v>
      </c>
      <c r="AC64" s="175">
        <v>26</v>
      </c>
      <c r="AD64" s="175">
        <v>27</v>
      </c>
      <c r="AE64" s="175">
        <v>28</v>
      </c>
      <c r="AF64" s="165">
        <v>29</v>
      </c>
      <c r="AG64" s="165">
        <v>30</v>
      </c>
      <c r="AH64" s="165">
        <v>31</v>
      </c>
      <c r="AJ64" s="185" t="s">
        <v>25</v>
      </c>
      <c r="AK64" s="185" t="s">
        <v>26</v>
      </c>
      <c r="AL64" s="185" t="s">
        <v>27</v>
      </c>
    </row>
    <row r="65" spans="3:38" ht="22.5" customHeight="1" x14ac:dyDescent="0.25">
      <c r="C65" s="162" t="s">
        <v>14</v>
      </c>
      <c r="D65" s="166" t="b">
        <v>0</v>
      </c>
      <c r="E65" s="167" t="b">
        <v>0</v>
      </c>
      <c r="F65" s="167" t="b">
        <v>0</v>
      </c>
      <c r="G65" s="167" t="b">
        <v>0</v>
      </c>
      <c r="H65" s="167" t="b">
        <v>0</v>
      </c>
      <c r="I65" s="167" t="b">
        <v>0</v>
      </c>
      <c r="J65" s="168" t="b">
        <v>0</v>
      </c>
      <c r="K65" s="176" t="b">
        <v>0</v>
      </c>
      <c r="L65" s="177" t="b">
        <v>0</v>
      </c>
      <c r="M65" s="177" t="b">
        <v>0</v>
      </c>
      <c r="N65" s="177" t="b">
        <v>0</v>
      </c>
      <c r="O65" s="177" t="b">
        <v>0</v>
      </c>
      <c r="P65" s="177" t="b">
        <v>0</v>
      </c>
      <c r="Q65" s="178" t="b">
        <v>0</v>
      </c>
      <c r="R65" s="166" t="b">
        <v>0</v>
      </c>
      <c r="S65" s="167" t="b">
        <v>0</v>
      </c>
      <c r="T65" s="167" t="b">
        <v>0</v>
      </c>
      <c r="U65" s="167" t="b">
        <v>0</v>
      </c>
      <c r="V65" s="167" t="b">
        <v>0</v>
      </c>
      <c r="W65" s="167" t="b">
        <v>0</v>
      </c>
      <c r="X65" s="168" t="b">
        <v>0</v>
      </c>
      <c r="Y65" s="176" t="b">
        <v>0</v>
      </c>
      <c r="Z65" s="177" t="b">
        <v>0</v>
      </c>
      <c r="AA65" s="177" t="b">
        <v>0</v>
      </c>
      <c r="AB65" s="177" t="b">
        <v>0</v>
      </c>
      <c r="AC65" s="177" t="b">
        <v>0</v>
      </c>
      <c r="AD65" s="177" t="b">
        <v>0</v>
      </c>
      <c r="AE65" s="178" t="b">
        <v>0</v>
      </c>
      <c r="AF65" s="166" t="b">
        <v>0</v>
      </c>
      <c r="AG65" s="167" t="b">
        <v>0</v>
      </c>
      <c r="AH65" s="168" t="b">
        <v>0</v>
      </c>
      <c r="AJ65" s="23">
        <f>COUNTA(D65:AH65)</f>
        <v>31</v>
      </c>
      <c r="AK65" s="23">
        <f>COUNTIF(D65:AH65, TRUE)</f>
        <v>0</v>
      </c>
      <c r="AL65" s="24">
        <f>AK65/AJ65</f>
        <v>0</v>
      </c>
    </row>
    <row r="66" spans="3:38" ht="22.5" customHeight="1" x14ac:dyDescent="0.25">
      <c r="C66" s="163" t="s">
        <v>15</v>
      </c>
      <c r="D66" s="169" t="b">
        <v>0</v>
      </c>
      <c r="E66" s="170" t="b">
        <v>0</v>
      </c>
      <c r="F66" s="170" t="b">
        <v>0</v>
      </c>
      <c r="G66" s="170" t="b">
        <v>0</v>
      </c>
      <c r="H66" s="170" t="b">
        <v>0</v>
      </c>
      <c r="I66" s="170" t="b">
        <v>0</v>
      </c>
      <c r="J66" s="171" t="b">
        <v>0</v>
      </c>
      <c r="K66" s="179" t="b">
        <v>0</v>
      </c>
      <c r="L66" s="180" t="b">
        <v>0</v>
      </c>
      <c r="M66" s="180" t="b">
        <v>0</v>
      </c>
      <c r="N66" s="180" t="b">
        <v>0</v>
      </c>
      <c r="O66" s="180" t="b">
        <v>0</v>
      </c>
      <c r="P66" s="180" t="b">
        <v>0</v>
      </c>
      <c r="Q66" s="181" t="b">
        <v>0</v>
      </c>
      <c r="R66" s="169" t="b">
        <v>0</v>
      </c>
      <c r="S66" s="170" t="b">
        <v>0</v>
      </c>
      <c r="T66" s="170" t="b">
        <v>0</v>
      </c>
      <c r="U66" s="170" t="b">
        <v>0</v>
      </c>
      <c r="V66" s="170" t="b">
        <v>0</v>
      </c>
      <c r="W66" s="170" t="b">
        <v>0</v>
      </c>
      <c r="X66" s="171" t="b">
        <v>0</v>
      </c>
      <c r="Y66" s="179" t="b">
        <v>0</v>
      </c>
      <c r="Z66" s="180" t="b">
        <v>0</v>
      </c>
      <c r="AA66" s="180" t="b">
        <v>0</v>
      </c>
      <c r="AB66" s="180" t="b">
        <v>0</v>
      </c>
      <c r="AC66" s="180" t="b">
        <v>0</v>
      </c>
      <c r="AD66" s="180" t="b">
        <v>0</v>
      </c>
      <c r="AE66" s="181" t="b">
        <v>0</v>
      </c>
      <c r="AF66" s="169" t="b">
        <v>0</v>
      </c>
      <c r="AG66" s="170" t="b">
        <v>0</v>
      </c>
      <c r="AH66" s="171" t="b">
        <v>0</v>
      </c>
      <c r="AJ66" s="23">
        <f t="shared" ref="AJ66:AJ71" si="12">COUNTA(D66:AH66)</f>
        <v>31</v>
      </c>
      <c r="AK66" s="23">
        <f t="shared" ref="AK66" si="13">COUNTIF(D66:AH66, TRUE)</f>
        <v>0</v>
      </c>
      <c r="AL66" s="24">
        <f t="shared" ref="AL66:AL71" si="14">AK66/AJ66</f>
        <v>0</v>
      </c>
    </row>
    <row r="67" spans="3:38" ht="22.5" customHeight="1" x14ac:dyDescent="0.25">
      <c r="C67" s="163" t="s">
        <v>16</v>
      </c>
      <c r="D67" s="169" t="b">
        <v>0</v>
      </c>
      <c r="E67" s="170" t="b">
        <v>0</v>
      </c>
      <c r="F67" s="170" t="b">
        <v>0</v>
      </c>
      <c r="G67" s="170" t="b">
        <v>0</v>
      </c>
      <c r="H67" s="170" t="b">
        <v>0</v>
      </c>
      <c r="I67" s="170" t="b">
        <v>0</v>
      </c>
      <c r="J67" s="171" t="b">
        <v>0</v>
      </c>
      <c r="K67" s="179" t="b">
        <v>0</v>
      </c>
      <c r="L67" s="180" t="b">
        <v>0</v>
      </c>
      <c r="M67" s="180" t="b">
        <v>0</v>
      </c>
      <c r="N67" s="180" t="b">
        <v>0</v>
      </c>
      <c r="O67" s="180" t="b">
        <v>0</v>
      </c>
      <c r="P67" s="180" t="b">
        <v>0</v>
      </c>
      <c r="Q67" s="181" t="b">
        <v>0</v>
      </c>
      <c r="R67" s="169" t="b">
        <v>0</v>
      </c>
      <c r="S67" s="170" t="b">
        <v>0</v>
      </c>
      <c r="T67" s="170" t="b">
        <v>0</v>
      </c>
      <c r="U67" s="170" t="b">
        <v>0</v>
      </c>
      <c r="V67" s="170" t="b">
        <v>0</v>
      </c>
      <c r="W67" s="170" t="b">
        <v>0</v>
      </c>
      <c r="X67" s="171" t="b">
        <v>0</v>
      </c>
      <c r="Y67" s="179" t="b">
        <v>0</v>
      </c>
      <c r="Z67" s="180" t="b">
        <v>0</v>
      </c>
      <c r="AA67" s="180" t="b">
        <v>0</v>
      </c>
      <c r="AB67" s="180" t="b">
        <v>0</v>
      </c>
      <c r="AC67" s="180" t="b">
        <v>0</v>
      </c>
      <c r="AD67" s="180" t="b">
        <v>0</v>
      </c>
      <c r="AE67" s="181" t="b">
        <v>0</v>
      </c>
      <c r="AF67" s="169" t="b">
        <v>0</v>
      </c>
      <c r="AG67" s="170" t="b">
        <v>0</v>
      </c>
      <c r="AH67" s="171" t="b">
        <v>0</v>
      </c>
      <c r="AJ67" s="23">
        <f t="shared" si="12"/>
        <v>31</v>
      </c>
      <c r="AK67" s="23">
        <f>COUNTIF(D67:AH67, TRUE)</f>
        <v>0</v>
      </c>
      <c r="AL67" s="24">
        <f t="shared" si="14"/>
        <v>0</v>
      </c>
    </row>
    <row r="68" spans="3:38" ht="22.5" customHeight="1" x14ac:dyDescent="0.25">
      <c r="C68" s="163" t="s">
        <v>17</v>
      </c>
      <c r="D68" s="169" t="b">
        <v>0</v>
      </c>
      <c r="E68" s="170" t="b">
        <v>0</v>
      </c>
      <c r="F68" s="170" t="b">
        <v>0</v>
      </c>
      <c r="G68" s="170" t="b">
        <v>0</v>
      </c>
      <c r="H68" s="170" t="b">
        <v>0</v>
      </c>
      <c r="I68" s="170" t="b">
        <v>0</v>
      </c>
      <c r="J68" s="171" t="b">
        <v>0</v>
      </c>
      <c r="K68" s="179" t="b">
        <v>0</v>
      </c>
      <c r="L68" s="180" t="b">
        <v>0</v>
      </c>
      <c r="M68" s="180" t="b">
        <v>0</v>
      </c>
      <c r="N68" s="180" t="b">
        <v>0</v>
      </c>
      <c r="O68" s="180" t="b">
        <v>0</v>
      </c>
      <c r="P68" s="180" t="b">
        <v>0</v>
      </c>
      <c r="Q68" s="181" t="b">
        <v>0</v>
      </c>
      <c r="R68" s="169" t="b">
        <v>0</v>
      </c>
      <c r="S68" s="170" t="b">
        <v>0</v>
      </c>
      <c r="T68" s="170" t="b">
        <v>0</v>
      </c>
      <c r="U68" s="170" t="b">
        <v>0</v>
      </c>
      <c r="V68" s="170" t="b">
        <v>0</v>
      </c>
      <c r="W68" s="170" t="b">
        <v>0</v>
      </c>
      <c r="X68" s="171" t="b">
        <v>0</v>
      </c>
      <c r="Y68" s="179" t="b">
        <v>0</v>
      </c>
      <c r="Z68" s="180" t="b">
        <v>0</v>
      </c>
      <c r="AA68" s="180" t="b">
        <v>0</v>
      </c>
      <c r="AB68" s="180" t="b">
        <v>0</v>
      </c>
      <c r="AC68" s="180" t="b">
        <v>0</v>
      </c>
      <c r="AD68" s="180" t="b">
        <v>0</v>
      </c>
      <c r="AE68" s="181" t="b">
        <v>0</v>
      </c>
      <c r="AF68" s="169" t="b">
        <v>0</v>
      </c>
      <c r="AG68" s="170" t="b">
        <v>0</v>
      </c>
      <c r="AH68" s="171" t="b">
        <v>0</v>
      </c>
      <c r="AJ68" s="23">
        <f t="shared" si="12"/>
        <v>31</v>
      </c>
      <c r="AK68" s="23">
        <f t="shared" ref="AK68:AK71" si="15">COUNTIF(D68:AH68, TRUE)</f>
        <v>0</v>
      </c>
      <c r="AL68" s="24">
        <f t="shared" si="14"/>
        <v>0</v>
      </c>
    </row>
    <row r="69" spans="3:38" ht="22.5" customHeight="1" x14ac:dyDescent="0.25">
      <c r="C69" s="163" t="s">
        <v>19</v>
      </c>
      <c r="D69" s="169" t="b">
        <v>0</v>
      </c>
      <c r="E69" s="170" t="b">
        <v>0</v>
      </c>
      <c r="F69" s="170" t="b">
        <v>0</v>
      </c>
      <c r="G69" s="170" t="b">
        <v>0</v>
      </c>
      <c r="H69" s="170" t="b">
        <v>0</v>
      </c>
      <c r="I69" s="170" t="b">
        <v>0</v>
      </c>
      <c r="J69" s="171" t="b">
        <v>0</v>
      </c>
      <c r="K69" s="179" t="b">
        <v>0</v>
      </c>
      <c r="L69" s="180" t="b">
        <v>0</v>
      </c>
      <c r="M69" s="180" t="b">
        <v>0</v>
      </c>
      <c r="N69" s="180" t="b">
        <v>0</v>
      </c>
      <c r="O69" s="180" t="b">
        <v>0</v>
      </c>
      <c r="P69" s="180" t="b">
        <v>0</v>
      </c>
      <c r="Q69" s="181" t="b">
        <v>0</v>
      </c>
      <c r="R69" s="169" t="b">
        <v>0</v>
      </c>
      <c r="S69" s="170" t="b">
        <v>0</v>
      </c>
      <c r="T69" s="170" t="b">
        <v>0</v>
      </c>
      <c r="U69" s="170" t="b">
        <v>0</v>
      </c>
      <c r="V69" s="170" t="b">
        <v>0</v>
      </c>
      <c r="W69" s="170" t="b">
        <v>0</v>
      </c>
      <c r="X69" s="171" t="b">
        <v>0</v>
      </c>
      <c r="Y69" s="179" t="b">
        <v>0</v>
      </c>
      <c r="Z69" s="180" t="b">
        <v>0</v>
      </c>
      <c r="AA69" s="180" t="b">
        <v>0</v>
      </c>
      <c r="AB69" s="180" t="b">
        <v>0</v>
      </c>
      <c r="AC69" s="180" t="b">
        <v>0</v>
      </c>
      <c r="AD69" s="180" t="b">
        <v>0</v>
      </c>
      <c r="AE69" s="181" t="b">
        <v>0</v>
      </c>
      <c r="AF69" s="169" t="b">
        <v>0</v>
      </c>
      <c r="AG69" s="170" t="b">
        <v>0</v>
      </c>
      <c r="AH69" s="171" t="b">
        <v>0</v>
      </c>
      <c r="AJ69" s="23">
        <f t="shared" si="12"/>
        <v>31</v>
      </c>
      <c r="AK69" s="23">
        <f t="shared" si="15"/>
        <v>0</v>
      </c>
      <c r="AL69" s="24">
        <f t="shared" si="14"/>
        <v>0</v>
      </c>
    </row>
    <row r="70" spans="3:38" ht="22.5" customHeight="1" x14ac:dyDescent="0.25">
      <c r="C70" s="163" t="s">
        <v>20</v>
      </c>
      <c r="D70" s="169" t="b">
        <v>0</v>
      </c>
      <c r="E70" s="170" t="b">
        <v>0</v>
      </c>
      <c r="F70" s="170" t="b">
        <v>0</v>
      </c>
      <c r="G70" s="170" t="b">
        <v>0</v>
      </c>
      <c r="H70" s="170" t="b">
        <v>0</v>
      </c>
      <c r="I70" s="170" t="b">
        <v>0</v>
      </c>
      <c r="J70" s="171" t="b">
        <v>0</v>
      </c>
      <c r="K70" s="179" t="b">
        <v>0</v>
      </c>
      <c r="L70" s="180" t="b">
        <v>0</v>
      </c>
      <c r="M70" s="180" t="b">
        <v>0</v>
      </c>
      <c r="N70" s="180" t="b">
        <v>0</v>
      </c>
      <c r="O70" s="180" t="b">
        <v>0</v>
      </c>
      <c r="P70" s="180" t="b">
        <v>0</v>
      </c>
      <c r="Q70" s="181" t="b">
        <v>0</v>
      </c>
      <c r="R70" s="169" t="b">
        <v>0</v>
      </c>
      <c r="S70" s="170" t="b">
        <v>0</v>
      </c>
      <c r="T70" s="170" t="b">
        <v>0</v>
      </c>
      <c r="U70" s="170" t="b">
        <v>0</v>
      </c>
      <c r="V70" s="170" t="b">
        <v>0</v>
      </c>
      <c r="W70" s="170" t="b">
        <v>0</v>
      </c>
      <c r="X70" s="171" t="b">
        <v>0</v>
      </c>
      <c r="Y70" s="179" t="b">
        <v>0</v>
      </c>
      <c r="Z70" s="180" t="b">
        <v>0</v>
      </c>
      <c r="AA70" s="180" t="b">
        <v>0</v>
      </c>
      <c r="AB70" s="180" t="b">
        <v>0</v>
      </c>
      <c r="AC70" s="180" t="b">
        <v>0</v>
      </c>
      <c r="AD70" s="180" t="b">
        <v>0</v>
      </c>
      <c r="AE70" s="181" t="b">
        <v>0</v>
      </c>
      <c r="AF70" s="169" t="b">
        <v>0</v>
      </c>
      <c r="AG70" s="170" t="b">
        <v>0</v>
      </c>
      <c r="AH70" s="171" t="b">
        <v>0</v>
      </c>
      <c r="AJ70" s="23">
        <f t="shared" si="12"/>
        <v>31</v>
      </c>
      <c r="AK70" s="23">
        <f t="shared" si="15"/>
        <v>0</v>
      </c>
      <c r="AL70" s="24">
        <f t="shared" si="14"/>
        <v>0</v>
      </c>
    </row>
    <row r="71" spans="3:38" ht="22.5" customHeight="1" x14ac:dyDescent="0.25">
      <c r="C71" s="164" t="s">
        <v>18</v>
      </c>
      <c r="D71" s="172" t="b">
        <v>0</v>
      </c>
      <c r="E71" s="173" t="b">
        <v>0</v>
      </c>
      <c r="F71" s="173" t="b">
        <v>0</v>
      </c>
      <c r="G71" s="173" t="b">
        <v>0</v>
      </c>
      <c r="H71" s="173" t="b">
        <v>0</v>
      </c>
      <c r="I71" s="173" t="b">
        <v>0</v>
      </c>
      <c r="J71" s="174" t="b">
        <v>0</v>
      </c>
      <c r="K71" s="182" t="b">
        <v>0</v>
      </c>
      <c r="L71" s="183" t="b">
        <v>0</v>
      </c>
      <c r="M71" s="183" t="b">
        <v>0</v>
      </c>
      <c r="N71" s="183" t="b">
        <v>0</v>
      </c>
      <c r="O71" s="183" t="b">
        <v>0</v>
      </c>
      <c r="P71" s="183" t="b">
        <v>0</v>
      </c>
      <c r="Q71" s="184" t="b">
        <v>0</v>
      </c>
      <c r="R71" s="172" t="b">
        <v>0</v>
      </c>
      <c r="S71" s="173" t="b">
        <v>0</v>
      </c>
      <c r="T71" s="173" t="b">
        <v>0</v>
      </c>
      <c r="U71" s="173" t="b">
        <v>0</v>
      </c>
      <c r="V71" s="173" t="b">
        <v>0</v>
      </c>
      <c r="W71" s="173" t="b">
        <v>0</v>
      </c>
      <c r="X71" s="174" t="b">
        <v>0</v>
      </c>
      <c r="Y71" s="182" t="b">
        <v>0</v>
      </c>
      <c r="Z71" s="183" t="b">
        <v>0</v>
      </c>
      <c r="AA71" s="183" t="b">
        <v>0</v>
      </c>
      <c r="AB71" s="183" t="b">
        <v>0</v>
      </c>
      <c r="AC71" s="183" t="b">
        <v>0</v>
      </c>
      <c r="AD71" s="183" t="b">
        <v>0</v>
      </c>
      <c r="AE71" s="184" t="b">
        <v>0</v>
      </c>
      <c r="AF71" s="172" t="b">
        <v>0</v>
      </c>
      <c r="AG71" s="173" t="b">
        <v>0</v>
      </c>
      <c r="AH71" s="174" t="b">
        <v>0</v>
      </c>
      <c r="AJ71" s="23">
        <f t="shared" si="12"/>
        <v>31</v>
      </c>
      <c r="AK71" s="23">
        <f t="shared" si="15"/>
        <v>0</v>
      </c>
      <c r="AL71" s="24">
        <f t="shared" si="14"/>
        <v>0</v>
      </c>
    </row>
    <row r="73" spans="3:38" ht="22.5" customHeight="1" x14ac:dyDescent="0.25">
      <c r="C73" s="186"/>
      <c r="D73" s="419" t="s">
        <v>47</v>
      </c>
      <c r="E73" s="419"/>
      <c r="F73" s="419"/>
      <c r="G73" s="419"/>
      <c r="H73" s="419"/>
      <c r="I73" s="419"/>
      <c r="J73" s="419"/>
      <c r="K73" s="187"/>
      <c r="L73" s="187"/>
      <c r="M73" s="187"/>
      <c r="N73" s="188" t="s">
        <v>21</v>
      </c>
      <c r="O73" s="187"/>
      <c r="P73" s="187"/>
      <c r="Q73" s="187"/>
      <c r="R73" s="187"/>
      <c r="S73" s="188" t="s">
        <v>23</v>
      </c>
      <c r="T73" s="187"/>
      <c r="U73" s="189"/>
      <c r="V73" s="187"/>
      <c r="W73" s="187"/>
      <c r="X73" s="188" t="s">
        <v>27</v>
      </c>
      <c r="Y73" s="187"/>
      <c r="Z73" s="187"/>
      <c r="AA73" s="187"/>
      <c r="AB73" s="188" t="s">
        <v>28</v>
      </c>
      <c r="AC73" s="187"/>
      <c r="AD73" s="187"/>
      <c r="AE73" s="187"/>
      <c r="AF73" s="187"/>
      <c r="AG73" s="187"/>
    </row>
    <row r="74" spans="3:38" ht="22.5" customHeight="1" x14ac:dyDescent="0.25">
      <c r="C74" s="190"/>
      <c r="D74" s="420"/>
      <c r="E74" s="420"/>
      <c r="F74" s="420"/>
      <c r="G74" s="420"/>
      <c r="H74" s="420"/>
      <c r="I74" s="420"/>
      <c r="J74" s="420"/>
      <c r="K74" s="191"/>
      <c r="L74" s="191"/>
      <c r="M74" s="191"/>
      <c r="N74" s="192">
        <f>COUNTA(C79:C85)</f>
        <v>7</v>
      </c>
      <c r="O74" s="191"/>
      <c r="P74" s="191"/>
      <c r="Q74" s="191"/>
      <c r="R74" s="191"/>
      <c r="S74" s="192">
        <f>COUNTIF(D79:AG85,TRUE)</f>
        <v>0</v>
      </c>
      <c r="T74" s="191"/>
      <c r="U74" s="193"/>
      <c r="V74" s="191"/>
      <c r="W74" s="421">
        <f>COUNTIF(D79:AG85, TRUE)/(COUNTA(D78:AG78)*COUNTA(C79:C85))</f>
        <v>0</v>
      </c>
      <c r="X74" s="421"/>
      <c r="Y74" s="421"/>
      <c r="Z74" s="191"/>
      <c r="AA74" s="191"/>
      <c r="AB74" s="194">
        <f>COUNTIF(D79:AG85, TRUE)/(COUNTA(D78:AG78)*COUNTA(C79:C85))</f>
        <v>0</v>
      </c>
      <c r="AC74" s="191"/>
      <c r="AD74" s="191"/>
      <c r="AE74" s="191"/>
      <c r="AF74" s="191"/>
      <c r="AG74" s="191"/>
    </row>
    <row r="76" spans="3:38" ht="22.5" customHeight="1" x14ac:dyDescent="0.25">
      <c r="C76" s="422" t="s">
        <v>1</v>
      </c>
      <c r="D76" s="423" t="s">
        <v>9</v>
      </c>
      <c r="E76" s="423"/>
      <c r="F76" s="423"/>
      <c r="G76" s="423"/>
      <c r="H76" s="423"/>
      <c r="I76" s="423"/>
      <c r="J76" s="423"/>
      <c r="K76" s="424" t="s">
        <v>10</v>
      </c>
      <c r="L76" s="424"/>
      <c r="M76" s="424"/>
      <c r="N76" s="424"/>
      <c r="O76" s="424"/>
      <c r="P76" s="424"/>
      <c r="Q76" s="424"/>
      <c r="R76" s="423" t="s">
        <v>11</v>
      </c>
      <c r="S76" s="423"/>
      <c r="T76" s="423"/>
      <c r="U76" s="423"/>
      <c r="V76" s="423"/>
      <c r="W76" s="423"/>
      <c r="X76" s="423"/>
      <c r="Y76" s="424" t="s">
        <v>12</v>
      </c>
      <c r="Z76" s="424"/>
      <c r="AA76" s="424"/>
      <c r="AB76" s="424"/>
      <c r="AC76" s="424"/>
      <c r="AD76" s="424"/>
      <c r="AE76" s="424"/>
      <c r="AF76" s="423" t="s">
        <v>13</v>
      </c>
      <c r="AG76" s="423"/>
      <c r="AI76" s="425" t="s">
        <v>24</v>
      </c>
      <c r="AJ76" s="425"/>
      <c r="AK76" s="425"/>
    </row>
    <row r="77" spans="3:38" ht="22.5" customHeight="1" x14ac:dyDescent="0.25">
      <c r="C77" s="422"/>
      <c r="D77" s="208" t="s">
        <v>4</v>
      </c>
      <c r="E77" s="208" t="s">
        <v>5</v>
      </c>
      <c r="F77" s="208" t="s">
        <v>44</v>
      </c>
      <c r="G77" s="208" t="s">
        <v>7</v>
      </c>
      <c r="H77" s="208" t="s">
        <v>8</v>
      </c>
      <c r="I77" s="208" t="s">
        <v>2</v>
      </c>
      <c r="J77" s="208" t="s">
        <v>3</v>
      </c>
      <c r="K77" s="198" t="s">
        <v>4</v>
      </c>
      <c r="L77" s="198" t="s">
        <v>5</v>
      </c>
      <c r="M77" s="198" t="s">
        <v>44</v>
      </c>
      <c r="N77" s="198" t="s">
        <v>7</v>
      </c>
      <c r="O77" s="198" t="s">
        <v>8</v>
      </c>
      <c r="P77" s="198" t="s">
        <v>2</v>
      </c>
      <c r="Q77" s="198" t="s">
        <v>3</v>
      </c>
      <c r="R77" s="208" t="s">
        <v>4</v>
      </c>
      <c r="S77" s="208" t="s">
        <v>5</v>
      </c>
      <c r="T77" s="208" t="s">
        <v>44</v>
      </c>
      <c r="U77" s="208" t="s">
        <v>7</v>
      </c>
      <c r="V77" s="208" t="s">
        <v>8</v>
      </c>
      <c r="W77" s="208" t="s">
        <v>2</v>
      </c>
      <c r="X77" s="208" t="s">
        <v>3</v>
      </c>
      <c r="Y77" s="198" t="s">
        <v>4</v>
      </c>
      <c r="Z77" s="198" t="s">
        <v>5</v>
      </c>
      <c r="AA77" s="198" t="s">
        <v>44</v>
      </c>
      <c r="AB77" s="198" t="s">
        <v>7</v>
      </c>
      <c r="AC77" s="198" t="s">
        <v>8</v>
      </c>
      <c r="AD77" s="198" t="s">
        <v>2</v>
      </c>
      <c r="AE77" s="198" t="s">
        <v>3</v>
      </c>
      <c r="AF77" s="208" t="s">
        <v>4</v>
      </c>
      <c r="AG77" s="208" t="s">
        <v>5</v>
      </c>
      <c r="AI77" s="425"/>
      <c r="AJ77" s="425"/>
      <c r="AK77" s="425"/>
    </row>
    <row r="78" spans="3:38" ht="22.5" customHeight="1" x14ac:dyDescent="0.25">
      <c r="C78" s="422"/>
      <c r="D78" s="208">
        <v>1</v>
      </c>
      <c r="E78" s="208">
        <v>2</v>
      </c>
      <c r="F78" s="208">
        <v>3</v>
      </c>
      <c r="G78" s="208">
        <v>4</v>
      </c>
      <c r="H78" s="208">
        <v>5</v>
      </c>
      <c r="I78" s="208">
        <v>6</v>
      </c>
      <c r="J78" s="208">
        <v>7</v>
      </c>
      <c r="K78" s="198">
        <v>8</v>
      </c>
      <c r="L78" s="198">
        <v>9</v>
      </c>
      <c r="M78" s="198">
        <v>10</v>
      </c>
      <c r="N78" s="198">
        <v>11</v>
      </c>
      <c r="O78" s="198">
        <v>12</v>
      </c>
      <c r="P78" s="198">
        <v>13</v>
      </c>
      <c r="Q78" s="198">
        <v>14</v>
      </c>
      <c r="R78" s="208">
        <v>15</v>
      </c>
      <c r="S78" s="208">
        <v>16</v>
      </c>
      <c r="T78" s="208">
        <v>17</v>
      </c>
      <c r="U78" s="208">
        <v>18</v>
      </c>
      <c r="V78" s="208">
        <v>19</v>
      </c>
      <c r="W78" s="208">
        <v>20</v>
      </c>
      <c r="X78" s="208">
        <v>21</v>
      </c>
      <c r="Y78" s="198">
        <v>22</v>
      </c>
      <c r="Z78" s="198">
        <v>23</v>
      </c>
      <c r="AA78" s="198">
        <v>24</v>
      </c>
      <c r="AB78" s="198">
        <v>25</v>
      </c>
      <c r="AC78" s="198">
        <v>26</v>
      </c>
      <c r="AD78" s="198">
        <v>27</v>
      </c>
      <c r="AE78" s="198">
        <v>28</v>
      </c>
      <c r="AF78" s="208">
        <v>29</v>
      </c>
      <c r="AG78" s="208">
        <v>30</v>
      </c>
      <c r="AI78" s="218" t="s">
        <v>25</v>
      </c>
      <c r="AJ78" s="218" t="s">
        <v>26</v>
      </c>
      <c r="AK78" s="218" t="s">
        <v>27</v>
      </c>
    </row>
    <row r="79" spans="3:38" ht="22.5" customHeight="1" x14ac:dyDescent="0.25">
      <c r="C79" s="195" t="s">
        <v>14</v>
      </c>
      <c r="D79" s="209" t="b">
        <v>0</v>
      </c>
      <c r="E79" s="210" t="b">
        <v>0</v>
      </c>
      <c r="F79" s="210" t="b">
        <v>0</v>
      </c>
      <c r="G79" s="210" t="b">
        <v>0</v>
      </c>
      <c r="H79" s="210" t="b">
        <v>0</v>
      </c>
      <c r="I79" s="210" t="b">
        <v>0</v>
      </c>
      <c r="J79" s="211" t="b">
        <v>0</v>
      </c>
      <c r="K79" s="199" t="b">
        <v>0</v>
      </c>
      <c r="L79" s="200" t="b">
        <v>0</v>
      </c>
      <c r="M79" s="200" t="b">
        <v>0</v>
      </c>
      <c r="N79" s="200" t="b">
        <v>0</v>
      </c>
      <c r="O79" s="200" t="b">
        <v>0</v>
      </c>
      <c r="P79" s="200" t="b">
        <v>0</v>
      </c>
      <c r="Q79" s="201" t="b">
        <v>0</v>
      </c>
      <c r="R79" s="209" t="b">
        <v>0</v>
      </c>
      <c r="S79" s="210" t="b">
        <v>0</v>
      </c>
      <c r="T79" s="210" t="b">
        <v>0</v>
      </c>
      <c r="U79" s="210" t="b">
        <v>0</v>
      </c>
      <c r="V79" s="210" t="b">
        <v>0</v>
      </c>
      <c r="W79" s="210" t="b">
        <v>0</v>
      </c>
      <c r="X79" s="211" t="b">
        <v>0</v>
      </c>
      <c r="Y79" s="199" t="b">
        <v>0</v>
      </c>
      <c r="Z79" s="200" t="b">
        <v>0</v>
      </c>
      <c r="AA79" s="200" t="b">
        <v>0</v>
      </c>
      <c r="AB79" s="200" t="b">
        <v>0</v>
      </c>
      <c r="AC79" s="200" t="b">
        <v>0</v>
      </c>
      <c r="AD79" s="200" t="b">
        <v>0</v>
      </c>
      <c r="AE79" s="201" t="b">
        <v>0</v>
      </c>
      <c r="AF79" s="209" t="b">
        <v>0</v>
      </c>
      <c r="AG79" s="211" t="b">
        <v>0</v>
      </c>
      <c r="AI79" s="23">
        <f>COUNTA(D79:AG79)</f>
        <v>30</v>
      </c>
      <c r="AJ79" s="23">
        <f t="shared" ref="AJ79:AJ85" si="16">COUNTIF(D79:AG79, TRUE)</f>
        <v>0</v>
      </c>
      <c r="AK79" s="24">
        <f>AJ79/AI79</f>
        <v>0</v>
      </c>
    </row>
    <row r="80" spans="3:38" ht="22.5" customHeight="1" x14ac:dyDescent="0.25">
      <c r="C80" s="196" t="s">
        <v>15</v>
      </c>
      <c r="D80" s="212" t="b">
        <v>0</v>
      </c>
      <c r="E80" s="213" t="b">
        <v>0</v>
      </c>
      <c r="F80" s="213" t="b">
        <v>0</v>
      </c>
      <c r="G80" s="213" t="b">
        <v>0</v>
      </c>
      <c r="H80" s="213" t="b">
        <v>0</v>
      </c>
      <c r="I80" s="213" t="b">
        <v>0</v>
      </c>
      <c r="J80" s="214" t="b">
        <v>0</v>
      </c>
      <c r="K80" s="202" t="b">
        <v>0</v>
      </c>
      <c r="L80" s="203" t="b">
        <v>0</v>
      </c>
      <c r="M80" s="203" t="b">
        <v>0</v>
      </c>
      <c r="N80" s="203" t="b">
        <v>0</v>
      </c>
      <c r="O80" s="203" t="b">
        <v>0</v>
      </c>
      <c r="P80" s="203" t="b">
        <v>0</v>
      </c>
      <c r="Q80" s="204" t="b">
        <v>0</v>
      </c>
      <c r="R80" s="212" t="b">
        <v>0</v>
      </c>
      <c r="S80" s="213" t="b">
        <v>0</v>
      </c>
      <c r="T80" s="213" t="b">
        <v>0</v>
      </c>
      <c r="U80" s="213" t="b">
        <v>0</v>
      </c>
      <c r="V80" s="213" t="b">
        <v>0</v>
      </c>
      <c r="W80" s="213" t="b">
        <v>0</v>
      </c>
      <c r="X80" s="214" t="b">
        <v>0</v>
      </c>
      <c r="Y80" s="202" t="b">
        <v>0</v>
      </c>
      <c r="Z80" s="203" t="b">
        <v>0</v>
      </c>
      <c r="AA80" s="203" t="b">
        <v>0</v>
      </c>
      <c r="AB80" s="203" t="b">
        <v>0</v>
      </c>
      <c r="AC80" s="203" t="b">
        <v>0</v>
      </c>
      <c r="AD80" s="203" t="b">
        <v>0</v>
      </c>
      <c r="AE80" s="204" t="b">
        <v>0</v>
      </c>
      <c r="AF80" s="212" t="b">
        <v>0</v>
      </c>
      <c r="AG80" s="214" t="b">
        <v>0</v>
      </c>
      <c r="AI80" s="23">
        <f>COUNTA(D80:AG80)</f>
        <v>30</v>
      </c>
      <c r="AJ80" s="23">
        <f t="shared" si="16"/>
        <v>0</v>
      </c>
      <c r="AK80" s="24">
        <f t="shared" ref="AK80:AK85" si="17">AJ80/AI80</f>
        <v>0</v>
      </c>
    </row>
    <row r="81" spans="3:38" ht="22.5" customHeight="1" x14ac:dyDescent="0.25">
      <c r="C81" s="196" t="s">
        <v>16</v>
      </c>
      <c r="D81" s="212" t="b">
        <v>0</v>
      </c>
      <c r="E81" s="213" t="b">
        <v>0</v>
      </c>
      <c r="F81" s="213" t="b">
        <v>0</v>
      </c>
      <c r="G81" s="213" t="b">
        <v>0</v>
      </c>
      <c r="H81" s="213" t="b">
        <v>0</v>
      </c>
      <c r="I81" s="213" t="b">
        <v>0</v>
      </c>
      <c r="J81" s="214" t="b">
        <v>0</v>
      </c>
      <c r="K81" s="202" t="b">
        <v>0</v>
      </c>
      <c r="L81" s="203" t="b">
        <v>0</v>
      </c>
      <c r="M81" s="203" t="b">
        <v>0</v>
      </c>
      <c r="N81" s="203" t="b">
        <v>0</v>
      </c>
      <c r="O81" s="203" t="b">
        <v>0</v>
      </c>
      <c r="P81" s="203" t="b">
        <v>0</v>
      </c>
      <c r="Q81" s="204" t="b">
        <v>0</v>
      </c>
      <c r="R81" s="212" t="b">
        <v>0</v>
      </c>
      <c r="S81" s="213" t="b">
        <v>0</v>
      </c>
      <c r="T81" s="213" t="b">
        <v>0</v>
      </c>
      <c r="U81" s="213" t="b">
        <v>0</v>
      </c>
      <c r="V81" s="213" t="b">
        <v>0</v>
      </c>
      <c r="W81" s="213" t="b">
        <v>0</v>
      </c>
      <c r="X81" s="214" t="b">
        <v>0</v>
      </c>
      <c r="Y81" s="202" t="b">
        <v>0</v>
      </c>
      <c r="Z81" s="203" t="b">
        <v>0</v>
      </c>
      <c r="AA81" s="203" t="b">
        <v>0</v>
      </c>
      <c r="AB81" s="203" t="b">
        <v>0</v>
      </c>
      <c r="AC81" s="203" t="b">
        <v>0</v>
      </c>
      <c r="AD81" s="203" t="b">
        <v>0</v>
      </c>
      <c r="AE81" s="204" t="b">
        <v>0</v>
      </c>
      <c r="AF81" s="212" t="b">
        <v>0</v>
      </c>
      <c r="AG81" s="214" t="b">
        <v>0</v>
      </c>
      <c r="AI81" s="23">
        <f t="shared" ref="AI81:AI85" si="18">COUNTA(D81:AG81)</f>
        <v>30</v>
      </c>
      <c r="AJ81" s="23">
        <f t="shared" si="16"/>
        <v>0</v>
      </c>
      <c r="AK81" s="24">
        <f t="shared" si="17"/>
        <v>0</v>
      </c>
    </row>
    <row r="82" spans="3:38" ht="22.5" customHeight="1" x14ac:dyDescent="0.25">
      <c r="C82" s="196" t="s">
        <v>17</v>
      </c>
      <c r="D82" s="212" t="b">
        <v>0</v>
      </c>
      <c r="E82" s="213" t="b">
        <v>0</v>
      </c>
      <c r="F82" s="213" t="b">
        <v>0</v>
      </c>
      <c r="G82" s="213" t="b">
        <v>0</v>
      </c>
      <c r="H82" s="213" t="b">
        <v>0</v>
      </c>
      <c r="I82" s="213" t="b">
        <v>0</v>
      </c>
      <c r="J82" s="214" t="b">
        <v>0</v>
      </c>
      <c r="K82" s="202" t="b">
        <v>0</v>
      </c>
      <c r="L82" s="203" t="b">
        <v>0</v>
      </c>
      <c r="M82" s="203" t="b">
        <v>0</v>
      </c>
      <c r="N82" s="203" t="b">
        <v>0</v>
      </c>
      <c r="O82" s="203" t="b">
        <v>0</v>
      </c>
      <c r="P82" s="203" t="b">
        <v>0</v>
      </c>
      <c r="Q82" s="204" t="b">
        <v>0</v>
      </c>
      <c r="R82" s="212" t="b">
        <v>0</v>
      </c>
      <c r="S82" s="213" t="b">
        <v>0</v>
      </c>
      <c r="T82" s="213" t="b">
        <v>0</v>
      </c>
      <c r="U82" s="213" t="b">
        <v>0</v>
      </c>
      <c r="V82" s="213" t="b">
        <v>0</v>
      </c>
      <c r="W82" s="213" t="b">
        <v>0</v>
      </c>
      <c r="X82" s="214" t="b">
        <v>0</v>
      </c>
      <c r="Y82" s="202" t="b">
        <v>0</v>
      </c>
      <c r="Z82" s="203" t="b">
        <v>0</v>
      </c>
      <c r="AA82" s="203" t="b">
        <v>0</v>
      </c>
      <c r="AB82" s="203" t="b">
        <v>0</v>
      </c>
      <c r="AC82" s="203" t="b">
        <v>0</v>
      </c>
      <c r="AD82" s="203" t="b">
        <v>0</v>
      </c>
      <c r="AE82" s="204" t="b">
        <v>0</v>
      </c>
      <c r="AF82" s="212" t="b">
        <v>0</v>
      </c>
      <c r="AG82" s="214" t="b">
        <v>0</v>
      </c>
      <c r="AI82" s="23">
        <f t="shared" si="18"/>
        <v>30</v>
      </c>
      <c r="AJ82" s="23">
        <f t="shared" si="16"/>
        <v>0</v>
      </c>
      <c r="AK82" s="24">
        <f t="shared" si="17"/>
        <v>0</v>
      </c>
    </row>
    <row r="83" spans="3:38" ht="22.5" customHeight="1" x14ac:dyDescent="0.25">
      <c r="C83" s="196" t="s">
        <v>19</v>
      </c>
      <c r="D83" s="212" t="b">
        <v>0</v>
      </c>
      <c r="E83" s="213" t="b">
        <v>0</v>
      </c>
      <c r="F83" s="213" t="b">
        <v>0</v>
      </c>
      <c r="G83" s="213" t="b">
        <v>0</v>
      </c>
      <c r="H83" s="213" t="b">
        <v>0</v>
      </c>
      <c r="I83" s="213" t="b">
        <v>0</v>
      </c>
      <c r="J83" s="214" t="b">
        <v>0</v>
      </c>
      <c r="K83" s="202" t="b">
        <v>0</v>
      </c>
      <c r="L83" s="203" t="b">
        <v>0</v>
      </c>
      <c r="M83" s="203" t="b">
        <v>0</v>
      </c>
      <c r="N83" s="203" t="b">
        <v>0</v>
      </c>
      <c r="O83" s="203" t="b">
        <v>0</v>
      </c>
      <c r="P83" s="203" t="b">
        <v>0</v>
      </c>
      <c r="Q83" s="204" t="b">
        <v>0</v>
      </c>
      <c r="R83" s="212" t="b">
        <v>0</v>
      </c>
      <c r="S83" s="213" t="b">
        <v>0</v>
      </c>
      <c r="T83" s="213" t="b">
        <v>0</v>
      </c>
      <c r="U83" s="213" t="b">
        <v>0</v>
      </c>
      <c r="V83" s="213" t="b">
        <v>0</v>
      </c>
      <c r="W83" s="213" t="b">
        <v>0</v>
      </c>
      <c r="X83" s="214" t="b">
        <v>0</v>
      </c>
      <c r="Y83" s="202" t="b">
        <v>0</v>
      </c>
      <c r="Z83" s="203" t="b">
        <v>0</v>
      </c>
      <c r="AA83" s="203" t="b">
        <v>0</v>
      </c>
      <c r="AB83" s="203" t="b">
        <v>0</v>
      </c>
      <c r="AC83" s="203" t="b">
        <v>0</v>
      </c>
      <c r="AD83" s="203" t="b">
        <v>0</v>
      </c>
      <c r="AE83" s="204" t="b">
        <v>0</v>
      </c>
      <c r="AF83" s="212" t="b">
        <v>0</v>
      </c>
      <c r="AG83" s="214" t="b">
        <v>0</v>
      </c>
      <c r="AI83" s="23">
        <f t="shared" si="18"/>
        <v>30</v>
      </c>
      <c r="AJ83" s="23">
        <f t="shared" si="16"/>
        <v>0</v>
      </c>
      <c r="AK83" s="24">
        <f t="shared" si="17"/>
        <v>0</v>
      </c>
    </row>
    <row r="84" spans="3:38" ht="22.5" customHeight="1" x14ac:dyDescent="0.25">
      <c r="C84" s="196" t="s">
        <v>20</v>
      </c>
      <c r="D84" s="212" t="b">
        <v>0</v>
      </c>
      <c r="E84" s="213" t="b">
        <v>0</v>
      </c>
      <c r="F84" s="213" t="b">
        <v>0</v>
      </c>
      <c r="G84" s="213" t="b">
        <v>0</v>
      </c>
      <c r="H84" s="213" t="b">
        <v>0</v>
      </c>
      <c r="I84" s="213" t="b">
        <v>0</v>
      </c>
      <c r="J84" s="214" t="b">
        <v>0</v>
      </c>
      <c r="K84" s="202" t="b">
        <v>0</v>
      </c>
      <c r="L84" s="203" t="b">
        <v>0</v>
      </c>
      <c r="M84" s="203" t="b">
        <v>0</v>
      </c>
      <c r="N84" s="203" t="b">
        <v>0</v>
      </c>
      <c r="O84" s="203" t="b">
        <v>0</v>
      </c>
      <c r="P84" s="203" t="b">
        <v>0</v>
      </c>
      <c r="Q84" s="204" t="b">
        <v>0</v>
      </c>
      <c r="R84" s="212" t="b">
        <v>0</v>
      </c>
      <c r="S84" s="213" t="b">
        <v>0</v>
      </c>
      <c r="T84" s="213" t="b">
        <v>0</v>
      </c>
      <c r="U84" s="213" t="b">
        <v>0</v>
      </c>
      <c r="V84" s="213" t="b">
        <v>0</v>
      </c>
      <c r="W84" s="213" t="b">
        <v>0</v>
      </c>
      <c r="X84" s="214" t="b">
        <v>0</v>
      </c>
      <c r="Y84" s="202" t="b">
        <v>0</v>
      </c>
      <c r="Z84" s="203" t="b">
        <v>0</v>
      </c>
      <c r="AA84" s="203" t="b">
        <v>0</v>
      </c>
      <c r="AB84" s="203" t="b">
        <v>0</v>
      </c>
      <c r="AC84" s="203" t="b">
        <v>0</v>
      </c>
      <c r="AD84" s="203" t="b">
        <v>0</v>
      </c>
      <c r="AE84" s="204" t="b">
        <v>0</v>
      </c>
      <c r="AF84" s="212" t="b">
        <v>0</v>
      </c>
      <c r="AG84" s="214" t="b">
        <v>0</v>
      </c>
      <c r="AI84" s="23">
        <f t="shared" si="18"/>
        <v>30</v>
      </c>
      <c r="AJ84" s="23">
        <f t="shared" si="16"/>
        <v>0</v>
      </c>
      <c r="AK84" s="24">
        <f t="shared" si="17"/>
        <v>0</v>
      </c>
    </row>
    <row r="85" spans="3:38" ht="22.5" customHeight="1" x14ac:dyDescent="0.25">
      <c r="C85" s="197" t="s">
        <v>18</v>
      </c>
      <c r="D85" s="215" t="b">
        <v>0</v>
      </c>
      <c r="E85" s="216" t="b">
        <v>0</v>
      </c>
      <c r="F85" s="216" t="b">
        <v>0</v>
      </c>
      <c r="G85" s="216" t="b">
        <v>0</v>
      </c>
      <c r="H85" s="216" t="b">
        <v>0</v>
      </c>
      <c r="I85" s="216" t="b">
        <v>0</v>
      </c>
      <c r="J85" s="217" t="b">
        <v>0</v>
      </c>
      <c r="K85" s="205" t="b">
        <v>0</v>
      </c>
      <c r="L85" s="206" t="b">
        <v>0</v>
      </c>
      <c r="M85" s="206" t="b">
        <v>0</v>
      </c>
      <c r="N85" s="206" t="b">
        <v>0</v>
      </c>
      <c r="O85" s="206" t="b">
        <v>0</v>
      </c>
      <c r="P85" s="206" t="b">
        <v>0</v>
      </c>
      <c r="Q85" s="207" t="b">
        <v>0</v>
      </c>
      <c r="R85" s="215" t="b">
        <v>0</v>
      </c>
      <c r="S85" s="216" t="b">
        <v>0</v>
      </c>
      <c r="T85" s="216" t="b">
        <v>0</v>
      </c>
      <c r="U85" s="216" t="b">
        <v>0</v>
      </c>
      <c r="V85" s="216" t="b">
        <v>0</v>
      </c>
      <c r="W85" s="216" t="b">
        <v>0</v>
      </c>
      <c r="X85" s="217" t="b">
        <v>0</v>
      </c>
      <c r="Y85" s="205" t="b">
        <v>0</v>
      </c>
      <c r="Z85" s="206" t="b">
        <v>0</v>
      </c>
      <c r="AA85" s="206" t="b">
        <v>0</v>
      </c>
      <c r="AB85" s="206" t="b">
        <v>0</v>
      </c>
      <c r="AC85" s="206" t="b">
        <v>0</v>
      </c>
      <c r="AD85" s="206" t="b">
        <v>0</v>
      </c>
      <c r="AE85" s="207" t="b">
        <v>0</v>
      </c>
      <c r="AF85" s="215" t="b">
        <v>0</v>
      </c>
      <c r="AG85" s="217" t="b">
        <v>0</v>
      </c>
      <c r="AI85" s="23">
        <f t="shared" si="18"/>
        <v>30</v>
      </c>
      <c r="AJ85" s="23">
        <f t="shared" si="16"/>
        <v>0</v>
      </c>
      <c r="AK85" s="24">
        <f t="shared" si="17"/>
        <v>0</v>
      </c>
    </row>
    <row r="87" spans="3:38" ht="22.5" customHeight="1" x14ac:dyDescent="0.25">
      <c r="C87" s="243"/>
      <c r="D87" s="432" t="s">
        <v>48</v>
      </c>
      <c r="E87" s="432"/>
      <c r="F87" s="432"/>
      <c r="G87" s="432"/>
      <c r="H87" s="432"/>
      <c r="I87" s="432"/>
      <c r="J87" s="432"/>
      <c r="K87" s="244"/>
      <c r="L87" s="244"/>
      <c r="M87" s="244"/>
      <c r="N87" s="245" t="s">
        <v>21</v>
      </c>
      <c r="O87" s="244"/>
      <c r="P87" s="244"/>
      <c r="Q87" s="244"/>
      <c r="R87" s="244"/>
      <c r="S87" s="245" t="s">
        <v>23</v>
      </c>
      <c r="T87" s="244"/>
      <c r="U87" s="246"/>
      <c r="V87" s="244"/>
      <c r="W87" s="244"/>
      <c r="X87" s="245" t="s">
        <v>27</v>
      </c>
      <c r="Y87" s="244"/>
      <c r="Z87" s="244"/>
      <c r="AA87" s="244"/>
      <c r="AB87" s="245" t="s">
        <v>28</v>
      </c>
      <c r="AC87" s="244"/>
      <c r="AD87" s="244"/>
      <c r="AE87" s="244"/>
      <c r="AF87" s="244"/>
      <c r="AG87" s="244"/>
      <c r="AH87" s="247"/>
    </row>
    <row r="88" spans="3:38" ht="22.5" customHeight="1" x14ac:dyDescent="0.25">
      <c r="C88" s="248"/>
      <c r="D88" s="433"/>
      <c r="E88" s="433"/>
      <c r="F88" s="433"/>
      <c r="G88" s="433"/>
      <c r="H88" s="433"/>
      <c r="I88" s="433"/>
      <c r="J88" s="433"/>
      <c r="K88" s="249"/>
      <c r="L88" s="249"/>
      <c r="M88" s="249"/>
      <c r="N88" s="250">
        <f>COUNTA(C93:C99)</f>
        <v>7</v>
      </c>
      <c r="O88" s="249"/>
      <c r="P88" s="249"/>
      <c r="Q88" s="249"/>
      <c r="R88" s="249"/>
      <c r="S88" s="250">
        <f>COUNTIF(D93:AH99,TRUE)</f>
        <v>0</v>
      </c>
      <c r="T88" s="249"/>
      <c r="U88" s="251"/>
      <c r="V88" s="249"/>
      <c r="W88" s="434">
        <f>COUNTIF(D93:AH99, TRUE)/(COUNTA(D92:AH92)*COUNTA(C93:C99))</f>
        <v>0</v>
      </c>
      <c r="X88" s="434"/>
      <c r="Y88" s="434"/>
      <c r="Z88" s="249"/>
      <c r="AA88" s="249"/>
      <c r="AB88" s="252">
        <f>COUNTIF(D93:AH99, TRUE)/(COUNTA(D92:AH92)*COUNTA(C93:C99))</f>
        <v>0</v>
      </c>
      <c r="AC88" s="249"/>
      <c r="AD88" s="249"/>
      <c r="AE88" s="249"/>
      <c r="AF88" s="249"/>
      <c r="AG88" s="249"/>
      <c r="AH88" s="253"/>
    </row>
    <row r="90" spans="3:38" ht="22.5" customHeight="1" x14ac:dyDescent="0.25">
      <c r="C90" s="435" t="s">
        <v>1</v>
      </c>
      <c r="D90" s="430" t="s">
        <v>9</v>
      </c>
      <c r="E90" s="430"/>
      <c r="F90" s="430"/>
      <c r="G90" s="430"/>
      <c r="H90" s="430"/>
      <c r="I90" s="430"/>
      <c r="J90" s="430"/>
      <c r="K90" s="436" t="s">
        <v>10</v>
      </c>
      <c r="L90" s="436"/>
      <c r="M90" s="436"/>
      <c r="N90" s="436"/>
      <c r="O90" s="436"/>
      <c r="P90" s="436"/>
      <c r="Q90" s="436"/>
      <c r="R90" s="430" t="s">
        <v>11</v>
      </c>
      <c r="S90" s="430"/>
      <c r="T90" s="430"/>
      <c r="U90" s="430"/>
      <c r="V90" s="430"/>
      <c r="W90" s="430"/>
      <c r="X90" s="430"/>
      <c r="Y90" s="436" t="s">
        <v>12</v>
      </c>
      <c r="Z90" s="436"/>
      <c r="AA90" s="436"/>
      <c r="AB90" s="436"/>
      <c r="AC90" s="436"/>
      <c r="AD90" s="436"/>
      <c r="AE90" s="436"/>
      <c r="AF90" s="430" t="s">
        <v>13</v>
      </c>
      <c r="AG90" s="430"/>
      <c r="AH90" s="430"/>
      <c r="AJ90" s="431" t="s">
        <v>24</v>
      </c>
      <c r="AK90" s="431"/>
      <c r="AL90" s="431"/>
    </row>
    <row r="91" spans="3:38" ht="22.5" customHeight="1" x14ac:dyDescent="0.25">
      <c r="C91" s="435"/>
      <c r="D91" s="222" t="s">
        <v>6</v>
      </c>
      <c r="E91" s="222" t="s">
        <v>7</v>
      </c>
      <c r="F91" s="222" t="s">
        <v>8</v>
      </c>
      <c r="G91" s="222" t="s">
        <v>2</v>
      </c>
      <c r="H91" s="222" t="s">
        <v>3</v>
      </c>
      <c r="I91" s="222" t="s">
        <v>4</v>
      </c>
      <c r="J91" s="222" t="s">
        <v>5</v>
      </c>
      <c r="K91" s="232" t="s">
        <v>6</v>
      </c>
      <c r="L91" s="232" t="s">
        <v>7</v>
      </c>
      <c r="M91" s="232" t="s">
        <v>8</v>
      </c>
      <c r="N91" s="232" t="s">
        <v>2</v>
      </c>
      <c r="O91" s="232" t="s">
        <v>3</v>
      </c>
      <c r="P91" s="232" t="s">
        <v>4</v>
      </c>
      <c r="Q91" s="232" t="s">
        <v>5</v>
      </c>
      <c r="R91" s="222" t="s">
        <v>6</v>
      </c>
      <c r="S91" s="222" t="s">
        <v>7</v>
      </c>
      <c r="T91" s="222" t="s">
        <v>8</v>
      </c>
      <c r="U91" s="222" t="s">
        <v>2</v>
      </c>
      <c r="V91" s="222" t="s">
        <v>3</v>
      </c>
      <c r="W91" s="222" t="s">
        <v>4</v>
      </c>
      <c r="X91" s="222" t="s">
        <v>5</v>
      </c>
      <c r="Y91" s="232" t="s">
        <v>6</v>
      </c>
      <c r="Z91" s="232" t="s">
        <v>7</v>
      </c>
      <c r="AA91" s="232" t="s">
        <v>8</v>
      </c>
      <c r="AB91" s="232" t="s">
        <v>2</v>
      </c>
      <c r="AC91" s="232" t="s">
        <v>3</v>
      </c>
      <c r="AD91" s="232" t="s">
        <v>4</v>
      </c>
      <c r="AE91" s="232" t="s">
        <v>5</v>
      </c>
      <c r="AF91" s="222" t="s">
        <v>6</v>
      </c>
      <c r="AG91" s="222" t="s">
        <v>7</v>
      </c>
      <c r="AH91" s="222" t="s">
        <v>8</v>
      </c>
      <c r="AJ91" s="431"/>
      <c r="AK91" s="431"/>
      <c r="AL91" s="431"/>
    </row>
    <row r="92" spans="3:38" ht="22.5" customHeight="1" x14ac:dyDescent="0.25">
      <c r="C92" s="435"/>
      <c r="D92" s="222">
        <v>1</v>
      </c>
      <c r="E92" s="222">
        <v>2</v>
      </c>
      <c r="F92" s="222">
        <v>3</v>
      </c>
      <c r="G92" s="222">
        <v>4</v>
      </c>
      <c r="H92" s="222">
        <v>5</v>
      </c>
      <c r="I92" s="222">
        <v>6</v>
      </c>
      <c r="J92" s="222">
        <v>7</v>
      </c>
      <c r="K92" s="232">
        <v>8</v>
      </c>
      <c r="L92" s="232">
        <v>9</v>
      </c>
      <c r="M92" s="232">
        <v>10</v>
      </c>
      <c r="N92" s="232">
        <v>11</v>
      </c>
      <c r="O92" s="232">
        <v>12</v>
      </c>
      <c r="P92" s="232">
        <v>13</v>
      </c>
      <c r="Q92" s="232">
        <v>14</v>
      </c>
      <c r="R92" s="222">
        <v>15</v>
      </c>
      <c r="S92" s="222">
        <v>16</v>
      </c>
      <c r="T92" s="222">
        <v>17</v>
      </c>
      <c r="U92" s="222">
        <v>18</v>
      </c>
      <c r="V92" s="222">
        <v>19</v>
      </c>
      <c r="W92" s="222">
        <v>20</v>
      </c>
      <c r="X92" s="222">
        <v>21</v>
      </c>
      <c r="Y92" s="232">
        <v>22</v>
      </c>
      <c r="Z92" s="232">
        <v>23</v>
      </c>
      <c r="AA92" s="232">
        <v>24</v>
      </c>
      <c r="AB92" s="232">
        <v>25</v>
      </c>
      <c r="AC92" s="232">
        <v>26</v>
      </c>
      <c r="AD92" s="232">
        <v>27</v>
      </c>
      <c r="AE92" s="232">
        <v>28</v>
      </c>
      <c r="AF92" s="222">
        <v>29</v>
      </c>
      <c r="AG92" s="222">
        <v>30</v>
      </c>
      <c r="AH92" s="222">
        <v>31</v>
      </c>
      <c r="AJ92" s="242" t="s">
        <v>25</v>
      </c>
      <c r="AK92" s="242" t="s">
        <v>26</v>
      </c>
      <c r="AL92" s="242" t="s">
        <v>27</v>
      </c>
    </row>
    <row r="93" spans="3:38" ht="22.5" customHeight="1" x14ac:dyDescent="0.25">
      <c r="C93" s="219" t="s">
        <v>14</v>
      </c>
      <c r="D93" s="223" t="b">
        <v>0</v>
      </c>
      <c r="E93" s="224" t="b">
        <v>0</v>
      </c>
      <c r="F93" s="224" t="b">
        <v>0</v>
      </c>
      <c r="G93" s="224" t="b">
        <v>0</v>
      </c>
      <c r="H93" s="224" t="b">
        <v>0</v>
      </c>
      <c r="I93" s="224" t="b">
        <v>0</v>
      </c>
      <c r="J93" s="225" t="b">
        <v>0</v>
      </c>
      <c r="K93" s="233" t="b">
        <v>0</v>
      </c>
      <c r="L93" s="234" t="b">
        <v>0</v>
      </c>
      <c r="M93" s="234" t="b">
        <v>0</v>
      </c>
      <c r="N93" s="234" t="b">
        <v>0</v>
      </c>
      <c r="O93" s="234" t="b">
        <v>0</v>
      </c>
      <c r="P93" s="234" t="b">
        <v>0</v>
      </c>
      <c r="Q93" s="235" t="b">
        <v>0</v>
      </c>
      <c r="R93" s="223" t="b">
        <v>0</v>
      </c>
      <c r="S93" s="224" t="b">
        <v>0</v>
      </c>
      <c r="T93" s="224" t="b">
        <v>0</v>
      </c>
      <c r="U93" s="224" t="b">
        <v>0</v>
      </c>
      <c r="V93" s="224" t="b">
        <v>0</v>
      </c>
      <c r="W93" s="224" t="b">
        <v>0</v>
      </c>
      <c r="X93" s="225" t="b">
        <v>0</v>
      </c>
      <c r="Y93" s="233" t="b">
        <v>0</v>
      </c>
      <c r="Z93" s="234" t="b">
        <v>0</v>
      </c>
      <c r="AA93" s="234" t="b">
        <v>0</v>
      </c>
      <c r="AB93" s="234" t="b">
        <v>0</v>
      </c>
      <c r="AC93" s="234" t="b">
        <v>0</v>
      </c>
      <c r="AD93" s="234" t="b">
        <v>0</v>
      </c>
      <c r="AE93" s="235" t="b">
        <v>0</v>
      </c>
      <c r="AF93" s="223" t="b">
        <v>0</v>
      </c>
      <c r="AG93" s="224" t="b">
        <v>0</v>
      </c>
      <c r="AH93" s="225" t="b">
        <v>0</v>
      </c>
      <c r="AJ93" s="23">
        <f>COUNTA(D93:AH93)</f>
        <v>31</v>
      </c>
      <c r="AK93" s="23">
        <f>COUNTIF(D93:AH93, TRUE)</f>
        <v>0</v>
      </c>
      <c r="AL93" s="24">
        <f>AK93/AJ93</f>
        <v>0</v>
      </c>
    </row>
    <row r="94" spans="3:38" ht="22.5" customHeight="1" x14ac:dyDescent="0.25">
      <c r="C94" s="220" t="s">
        <v>15</v>
      </c>
      <c r="D94" s="226" t="b">
        <v>0</v>
      </c>
      <c r="E94" s="227" t="b">
        <v>0</v>
      </c>
      <c r="F94" s="227" t="b">
        <v>0</v>
      </c>
      <c r="G94" s="227" t="b">
        <v>0</v>
      </c>
      <c r="H94" s="227" t="b">
        <v>0</v>
      </c>
      <c r="I94" s="227" t="b">
        <v>0</v>
      </c>
      <c r="J94" s="228" t="b">
        <v>0</v>
      </c>
      <c r="K94" s="236" t="b">
        <v>0</v>
      </c>
      <c r="L94" s="237" t="b">
        <v>0</v>
      </c>
      <c r="M94" s="237" t="b">
        <v>0</v>
      </c>
      <c r="N94" s="237" t="b">
        <v>0</v>
      </c>
      <c r="O94" s="237" t="b">
        <v>0</v>
      </c>
      <c r="P94" s="237" t="b">
        <v>0</v>
      </c>
      <c r="Q94" s="238" t="b">
        <v>0</v>
      </c>
      <c r="R94" s="226" t="b">
        <v>0</v>
      </c>
      <c r="S94" s="227" t="b">
        <v>0</v>
      </c>
      <c r="T94" s="227" t="b">
        <v>0</v>
      </c>
      <c r="U94" s="227" t="b">
        <v>0</v>
      </c>
      <c r="V94" s="227" t="b">
        <v>0</v>
      </c>
      <c r="W94" s="227" t="b">
        <v>0</v>
      </c>
      <c r="X94" s="228" t="b">
        <v>0</v>
      </c>
      <c r="Y94" s="236" t="b">
        <v>0</v>
      </c>
      <c r="Z94" s="237" t="b">
        <v>0</v>
      </c>
      <c r="AA94" s="237" t="b">
        <v>0</v>
      </c>
      <c r="AB94" s="237" t="b">
        <v>0</v>
      </c>
      <c r="AC94" s="237" t="b">
        <v>0</v>
      </c>
      <c r="AD94" s="237" t="b">
        <v>0</v>
      </c>
      <c r="AE94" s="238" t="b">
        <v>0</v>
      </c>
      <c r="AF94" s="226" t="b">
        <v>0</v>
      </c>
      <c r="AG94" s="227" t="b">
        <v>0</v>
      </c>
      <c r="AH94" s="228" t="b">
        <v>0</v>
      </c>
      <c r="AJ94" s="23">
        <f t="shared" ref="AJ94:AJ99" si="19">COUNTA(D94:AH94)</f>
        <v>31</v>
      </c>
      <c r="AK94" s="23">
        <f t="shared" ref="AK94" si="20">COUNTIF(D94:AH94, TRUE)</f>
        <v>0</v>
      </c>
      <c r="AL94" s="24">
        <f t="shared" ref="AL94:AL99" si="21">AK94/AJ94</f>
        <v>0</v>
      </c>
    </row>
    <row r="95" spans="3:38" ht="22.5" customHeight="1" x14ac:dyDescent="0.25">
      <c r="C95" s="220" t="s">
        <v>16</v>
      </c>
      <c r="D95" s="226" t="b">
        <v>0</v>
      </c>
      <c r="E95" s="227" t="b">
        <v>0</v>
      </c>
      <c r="F95" s="227" t="b">
        <v>0</v>
      </c>
      <c r="G95" s="227" t="b">
        <v>0</v>
      </c>
      <c r="H95" s="227" t="b">
        <v>0</v>
      </c>
      <c r="I95" s="227" t="b">
        <v>0</v>
      </c>
      <c r="J95" s="228" t="b">
        <v>0</v>
      </c>
      <c r="K95" s="236" t="b">
        <v>0</v>
      </c>
      <c r="L95" s="237" t="b">
        <v>0</v>
      </c>
      <c r="M95" s="237" t="b">
        <v>0</v>
      </c>
      <c r="N95" s="237" t="b">
        <v>0</v>
      </c>
      <c r="O95" s="237" t="b">
        <v>0</v>
      </c>
      <c r="P95" s="237" t="b">
        <v>0</v>
      </c>
      <c r="Q95" s="238" t="b">
        <v>0</v>
      </c>
      <c r="R95" s="226" t="b">
        <v>0</v>
      </c>
      <c r="S95" s="227" t="b">
        <v>0</v>
      </c>
      <c r="T95" s="227" t="b">
        <v>0</v>
      </c>
      <c r="U95" s="227" t="b">
        <v>0</v>
      </c>
      <c r="V95" s="227" t="b">
        <v>0</v>
      </c>
      <c r="W95" s="227" t="b">
        <v>0</v>
      </c>
      <c r="X95" s="228" t="b">
        <v>0</v>
      </c>
      <c r="Y95" s="236" t="b">
        <v>0</v>
      </c>
      <c r="Z95" s="237" t="b">
        <v>0</v>
      </c>
      <c r="AA95" s="237" t="b">
        <v>0</v>
      </c>
      <c r="AB95" s="237" t="b">
        <v>0</v>
      </c>
      <c r="AC95" s="237" t="b">
        <v>0</v>
      </c>
      <c r="AD95" s="237" t="b">
        <v>0</v>
      </c>
      <c r="AE95" s="238" t="b">
        <v>0</v>
      </c>
      <c r="AF95" s="226" t="b">
        <v>0</v>
      </c>
      <c r="AG95" s="227" t="b">
        <v>0</v>
      </c>
      <c r="AH95" s="228" t="b">
        <v>0</v>
      </c>
      <c r="AJ95" s="23">
        <f t="shared" si="19"/>
        <v>31</v>
      </c>
      <c r="AK95" s="23">
        <f>COUNTIF(D95:AH95, TRUE)</f>
        <v>0</v>
      </c>
      <c r="AL95" s="24">
        <f t="shared" si="21"/>
        <v>0</v>
      </c>
    </row>
    <row r="96" spans="3:38" ht="22.5" customHeight="1" x14ac:dyDescent="0.25">
      <c r="C96" s="220" t="s">
        <v>17</v>
      </c>
      <c r="D96" s="226" t="b">
        <v>0</v>
      </c>
      <c r="E96" s="227" t="b">
        <v>0</v>
      </c>
      <c r="F96" s="227" t="b">
        <v>0</v>
      </c>
      <c r="G96" s="227" t="b">
        <v>0</v>
      </c>
      <c r="H96" s="227" t="b">
        <v>0</v>
      </c>
      <c r="I96" s="227" t="b">
        <v>0</v>
      </c>
      <c r="J96" s="228" t="b">
        <v>0</v>
      </c>
      <c r="K96" s="236" t="b">
        <v>0</v>
      </c>
      <c r="L96" s="237" t="b">
        <v>0</v>
      </c>
      <c r="M96" s="237" t="b">
        <v>0</v>
      </c>
      <c r="N96" s="237" t="b">
        <v>0</v>
      </c>
      <c r="O96" s="237" t="b">
        <v>0</v>
      </c>
      <c r="P96" s="237" t="b">
        <v>0</v>
      </c>
      <c r="Q96" s="238" t="b">
        <v>0</v>
      </c>
      <c r="R96" s="226" t="b">
        <v>0</v>
      </c>
      <c r="S96" s="227" t="b">
        <v>0</v>
      </c>
      <c r="T96" s="227" t="b">
        <v>0</v>
      </c>
      <c r="U96" s="227" t="b">
        <v>0</v>
      </c>
      <c r="V96" s="227" t="b">
        <v>0</v>
      </c>
      <c r="W96" s="227" t="b">
        <v>0</v>
      </c>
      <c r="X96" s="228" t="b">
        <v>0</v>
      </c>
      <c r="Y96" s="236" t="b">
        <v>0</v>
      </c>
      <c r="Z96" s="237" t="b">
        <v>0</v>
      </c>
      <c r="AA96" s="237" t="b">
        <v>0</v>
      </c>
      <c r="AB96" s="237" t="b">
        <v>0</v>
      </c>
      <c r="AC96" s="237" t="b">
        <v>0</v>
      </c>
      <c r="AD96" s="237" t="b">
        <v>0</v>
      </c>
      <c r="AE96" s="238" t="b">
        <v>0</v>
      </c>
      <c r="AF96" s="226" t="b">
        <v>0</v>
      </c>
      <c r="AG96" s="227" t="b">
        <v>0</v>
      </c>
      <c r="AH96" s="228" t="b">
        <v>0</v>
      </c>
      <c r="AJ96" s="23">
        <f t="shared" si="19"/>
        <v>31</v>
      </c>
      <c r="AK96" s="23">
        <f t="shared" ref="AK96:AK99" si="22">COUNTIF(D96:AH96, TRUE)</f>
        <v>0</v>
      </c>
      <c r="AL96" s="24">
        <f t="shared" si="21"/>
        <v>0</v>
      </c>
    </row>
    <row r="97" spans="3:38" ht="22.5" customHeight="1" x14ac:dyDescent="0.25">
      <c r="C97" s="220" t="s">
        <v>19</v>
      </c>
      <c r="D97" s="226" t="b">
        <v>0</v>
      </c>
      <c r="E97" s="227" t="b">
        <v>0</v>
      </c>
      <c r="F97" s="227" t="b">
        <v>0</v>
      </c>
      <c r="G97" s="227" t="b">
        <v>0</v>
      </c>
      <c r="H97" s="227" t="b">
        <v>0</v>
      </c>
      <c r="I97" s="227" t="b">
        <v>0</v>
      </c>
      <c r="J97" s="228" t="b">
        <v>0</v>
      </c>
      <c r="K97" s="236" t="b">
        <v>0</v>
      </c>
      <c r="L97" s="237" t="b">
        <v>0</v>
      </c>
      <c r="M97" s="237" t="b">
        <v>0</v>
      </c>
      <c r="N97" s="237" t="b">
        <v>0</v>
      </c>
      <c r="O97" s="237" t="b">
        <v>0</v>
      </c>
      <c r="P97" s="237" t="b">
        <v>0</v>
      </c>
      <c r="Q97" s="238" t="b">
        <v>0</v>
      </c>
      <c r="R97" s="226" t="b">
        <v>0</v>
      </c>
      <c r="S97" s="227" t="b">
        <v>0</v>
      </c>
      <c r="T97" s="227" t="b">
        <v>0</v>
      </c>
      <c r="U97" s="227" t="b">
        <v>0</v>
      </c>
      <c r="V97" s="227" t="b">
        <v>0</v>
      </c>
      <c r="W97" s="227" t="b">
        <v>0</v>
      </c>
      <c r="X97" s="228" t="b">
        <v>0</v>
      </c>
      <c r="Y97" s="236" t="b">
        <v>0</v>
      </c>
      <c r="Z97" s="237" t="b">
        <v>0</v>
      </c>
      <c r="AA97" s="237" t="b">
        <v>0</v>
      </c>
      <c r="AB97" s="237" t="b">
        <v>0</v>
      </c>
      <c r="AC97" s="237" t="b">
        <v>0</v>
      </c>
      <c r="AD97" s="237" t="b">
        <v>0</v>
      </c>
      <c r="AE97" s="238" t="b">
        <v>0</v>
      </c>
      <c r="AF97" s="226" t="b">
        <v>0</v>
      </c>
      <c r="AG97" s="227" t="b">
        <v>0</v>
      </c>
      <c r="AH97" s="228" t="b">
        <v>0</v>
      </c>
      <c r="AJ97" s="23">
        <f t="shared" si="19"/>
        <v>31</v>
      </c>
      <c r="AK97" s="23">
        <f t="shared" si="22"/>
        <v>0</v>
      </c>
      <c r="AL97" s="24">
        <f t="shared" si="21"/>
        <v>0</v>
      </c>
    </row>
    <row r="98" spans="3:38" ht="22.5" customHeight="1" x14ac:dyDescent="0.25">
      <c r="C98" s="220" t="s">
        <v>20</v>
      </c>
      <c r="D98" s="226" t="b">
        <v>0</v>
      </c>
      <c r="E98" s="227" t="b">
        <v>0</v>
      </c>
      <c r="F98" s="227" t="b">
        <v>0</v>
      </c>
      <c r="G98" s="227" t="b">
        <v>0</v>
      </c>
      <c r="H98" s="227" t="b">
        <v>0</v>
      </c>
      <c r="I98" s="227" t="b">
        <v>0</v>
      </c>
      <c r="J98" s="228" t="b">
        <v>0</v>
      </c>
      <c r="K98" s="236" t="b">
        <v>0</v>
      </c>
      <c r="L98" s="237" t="b">
        <v>0</v>
      </c>
      <c r="M98" s="237" t="b">
        <v>0</v>
      </c>
      <c r="N98" s="237" t="b">
        <v>0</v>
      </c>
      <c r="O98" s="237" t="b">
        <v>0</v>
      </c>
      <c r="P98" s="237" t="b">
        <v>0</v>
      </c>
      <c r="Q98" s="238" t="b">
        <v>0</v>
      </c>
      <c r="R98" s="226" t="b">
        <v>0</v>
      </c>
      <c r="S98" s="227" t="b">
        <v>0</v>
      </c>
      <c r="T98" s="227" t="b">
        <v>0</v>
      </c>
      <c r="U98" s="227" t="b">
        <v>0</v>
      </c>
      <c r="V98" s="227" t="b">
        <v>0</v>
      </c>
      <c r="W98" s="227" t="b">
        <v>0</v>
      </c>
      <c r="X98" s="228" t="b">
        <v>0</v>
      </c>
      <c r="Y98" s="236" t="b">
        <v>0</v>
      </c>
      <c r="Z98" s="237" t="b">
        <v>0</v>
      </c>
      <c r="AA98" s="237" t="b">
        <v>0</v>
      </c>
      <c r="AB98" s="237" t="b">
        <v>0</v>
      </c>
      <c r="AC98" s="237" t="b">
        <v>0</v>
      </c>
      <c r="AD98" s="237" t="b">
        <v>0</v>
      </c>
      <c r="AE98" s="238" t="b">
        <v>0</v>
      </c>
      <c r="AF98" s="226" t="b">
        <v>0</v>
      </c>
      <c r="AG98" s="227" t="b">
        <v>0</v>
      </c>
      <c r="AH98" s="228" t="b">
        <v>0</v>
      </c>
      <c r="AJ98" s="23">
        <f t="shared" si="19"/>
        <v>31</v>
      </c>
      <c r="AK98" s="23">
        <f t="shared" si="22"/>
        <v>0</v>
      </c>
      <c r="AL98" s="24">
        <f t="shared" si="21"/>
        <v>0</v>
      </c>
    </row>
    <row r="99" spans="3:38" ht="22.5" customHeight="1" x14ac:dyDescent="0.25">
      <c r="C99" s="221" t="s">
        <v>18</v>
      </c>
      <c r="D99" s="229" t="b">
        <v>0</v>
      </c>
      <c r="E99" s="230" t="b">
        <v>0</v>
      </c>
      <c r="F99" s="230" t="b">
        <v>0</v>
      </c>
      <c r="G99" s="230" t="b">
        <v>0</v>
      </c>
      <c r="H99" s="230" t="b">
        <v>0</v>
      </c>
      <c r="I99" s="230" t="b">
        <v>0</v>
      </c>
      <c r="J99" s="231" t="b">
        <v>0</v>
      </c>
      <c r="K99" s="239" t="b">
        <v>0</v>
      </c>
      <c r="L99" s="240" t="b">
        <v>0</v>
      </c>
      <c r="M99" s="240" t="b">
        <v>0</v>
      </c>
      <c r="N99" s="240" t="b">
        <v>0</v>
      </c>
      <c r="O99" s="240" t="b">
        <v>0</v>
      </c>
      <c r="P99" s="240" t="b">
        <v>0</v>
      </c>
      <c r="Q99" s="241" t="b">
        <v>0</v>
      </c>
      <c r="R99" s="229" t="b">
        <v>0</v>
      </c>
      <c r="S99" s="230" t="b">
        <v>0</v>
      </c>
      <c r="T99" s="230" t="b">
        <v>0</v>
      </c>
      <c r="U99" s="230" t="b">
        <v>0</v>
      </c>
      <c r="V99" s="230" t="b">
        <v>0</v>
      </c>
      <c r="W99" s="230" t="b">
        <v>0</v>
      </c>
      <c r="X99" s="231" t="b">
        <v>0</v>
      </c>
      <c r="Y99" s="239" t="b">
        <v>0</v>
      </c>
      <c r="Z99" s="240" t="b">
        <v>0</v>
      </c>
      <c r="AA99" s="240" t="b">
        <v>0</v>
      </c>
      <c r="AB99" s="240" t="b">
        <v>0</v>
      </c>
      <c r="AC99" s="240" t="b">
        <v>0</v>
      </c>
      <c r="AD99" s="240" t="b">
        <v>0</v>
      </c>
      <c r="AE99" s="241" t="b">
        <v>0</v>
      </c>
      <c r="AF99" s="229" t="b">
        <v>0</v>
      </c>
      <c r="AG99" s="230" t="b">
        <v>0</v>
      </c>
      <c r="AH99" s="231" t="b">
        <v>0</v>
      </c>
      <c r="AJ99" s="23">
        <f t="shared" si="19"/>
        <v>31</v>
      </c>
      <c r="AK99" s="23">
        <f t="shared" si="22"/>
        <v>0</v>
      </c>
      <c r="AL99" s="24">
        <f t="shared" si="21"/>
        <v>0</v>
      </c>
    </row>
    <row r="101" spans="3:38" ht="22.5" customHeight="1" x14ac:dyDescent="0.25">
      <c r="C101" s="254"/>
      <c r="D101" s="374" t="s">
        <v>49</v>
      </c>
      <c r="E101" s="374"/>
      <c r="F101" s="374"/>
      <c r="G101" s="374"/>
      <c r="H101" s="374"/>
      <c r="I101" s="374"/>
      <c r="J101" s="374"/>
      <c r="K101" s="255"/>
      <c r="L101" s="255"/>
      <c r="M101" s="255"/>
      <c r="N101" s="256" t="s">
        <v>21</v>
      </c>
      <c r="O101" s="255"/>
      <c r="P101" s="255"/>
      <c r="Q101" s="255"/>
      <c r="R101" s="255"/>
      <c r="S101" s="256" t="s">
        <v>23</v>
      </c>
      <c r="T101" s="255"/>
      <c r="U101" s="257"/>
      <c r="V101" s="255"/>
      <c r="W101" s="255"/>
      <c r="X101" s="256" t="s">
        <v>27</v>
      </c>
      <c r="Y101" s="255"/>
      <c r="Z101" s="255"/>
      <c r="AA101" s="255"/>
      <c r="AB101" s="256" t="s">
        <v>28</v>
      </c>
      <c r="AC101" s="255"/>
      <c r="AD101" s="255"/>
      <c r="AE101" s="255"/>
      <c r="AF101" s="255"/>
      <c r="AG101" s="255"/>
      <c r="AH101" s="287"/>
    </row>
    <row r="102" spans="3:38" ht="22.5" customHeight="1" x14ac:dyDescent="0.25">
      <c r="C102" s="258"/>
      <c r="D102" s="375"/>
      <c r="E102" s="375"/>
      <c r="F102" s="375"/>
      <c r="G102" s="375"/>
      <c r="H102" s="375"/>
      <c r="I102" s="375"/>
      <c r="J102" s="375"/>
      <c r="K102" s="259"/>
      <c r="L102" s="259"/>
      <c r="M102" s="259"/>
      <c r="N102" s="260">
        <f>COUNTA(C107:C113)</f>
        <v>7</v>
      </c>
      <c r="O102" s="259"/>
      <c r="P102" s="259"/>
      <c r="Q102" s="259"/>
      <c r="R102" s="259"/>
      <c r="S102" s="260">
        <f>COUNTIF(D107:AG113,TRUE)</f>
        <v>0</v>
      </c>
      <c r="T102" s="259"/>
      <c r="U102" s="261"/>
      <c r="V102" s="259"/>
      <c r="W102" s="376">
        <f>COUNTIF(D107:AH113, TRUE)/(COUNTA(D106:AH106)*COUNTA(C107:C113))</f>
        <v>0</v>
      </c>
      <c r="X102" s="376"/>
      <c r="Y102" s="376"/>
      <c r="Z102" s="259"/>
      <c r="AA102" s="259"/>
      <c r="AB102" s="262">
        <f>COUNTIF(D107:AH113, TRUE)/(COUNTA(D106:AH106)*COUNTA(C107:C113))</f>
        <v>0</v>
      </c>
      <c r="AC102" s="259"/>
      <c r="AD102" s="259"/>
      <c r="AE102" s="259"/>
      <c r="AF102" s="259"/>
      <c r="AG102" s="259"/>
      <c r="AH102" s="288"/>
    </row>
    <row r="104" spans="3:38" ht="22.5" customHeight="1" x14ac:dyDescent="0.25">
      <c r="C104" s="377" t="s">
        <v>1</v>
      </c>
      <c r="D104" s="378" t="s">
        <v>9</v>
      </c>
      <c r="E104" s="378"/>
      <c r="F104" s="378"/>
      <c r="G104" s="378"/>
      <c r="H104" s="378"/>
      <c r="I104" s="378"/>
      <c r="J104" s="378"/>
      <c r="K104" s="379" t="s">
        <v>10</v>
      </c>
      <c r="L104" s="379"/>
      <c r="M104" s="379"/>
      <c r="N104" s="379"/>
      <c r="O104" s="379"/>
      <c r="P104" s="379"/>
      <c r="Q104" s="379"/>
      <c r="R104" s="378" t="s">
        <v>11</v>
      </c>
      <c r="S104" s="378"/>
      <c r="T104" s="378"/>
      <c r="U104" s="378"/>
      <c r="V104" s="378"/>
      <c r="W104" s="378"/>
      <c r="X104" s="378"/>
      <c r="Y104" s="379" t="s">
        <v>12</v>
      </c>
      <c r="Z104" s="379"/>
      <c r="AA104" s="379"/>
      <c r="AB104" s="379"/>
      <c r="AC104" s="379"/>
      <c r="AD104" s="379"/>
      <c r="AE104" s="379"/>
      <c r="AF104" s="369" t="s">
        <v>13</v>
      </c>
      <c r="AG104" s="370"/>
      <c r="AH104" s="370"/>
      <c r="AJ104" s="368" t="s">
        <v>24</v>
      </c>
      <c r="AK104" s="368"/>
      <c r="AL104" s="368"/>
    </row>
    <row r="105" spans="3:38" ht="22.5" customHeight="1" x14ac:dyDescent="0.25">
      <c r="C105" s="377"/>
      <c r="D105" s="263" t="s">
        <v>2</v>
      </c>
      <c r="E105" s="263" t="s">
        <v>3</v>
      </c>
      <c r="F105" s="263" t="s">
        <v>4</v>
      </c>
      <c r="G105" s="263" t="s">
        <v>5</v>
      </c>
      <c r="H105" s="263" t="s">
        <v>44</v>
      </c>
      <c r="I105" s="263" t="s">
        <v>7</v>
      </c>
      <c r="J105" s="263" t="s">
        <v>8</v>
      </c>
      <c r="K105" s="276" t="s">
        <v>2</v>
      </c>
      <c r="L105" s="276" t="s">
        <v>3</v>
      </c>
      <c r="M105" s="276" t="s">
        <v>4</v>
      </c>
      <c r="N105" s="276" t="s">
        <v>5</v>
      </c>
      <c r="O105" s="276" t="s">
        <v>44</v>
      </c>
      <c r="P105" s="276" t="s">
        <v>7</v>
      </c>
      <c r="Q105" s="276" t="s">
        <v>8</v>
      </c>
      <c r="R105" s="263" t="s">
        <v>2</v>
      </c>
      <c r="S105" s="263" t="s">
        <v>3</v>
      </c>
      <c r="T105" s="263" t="s">
        <v>4</v>
      </c>
      <c r="U105" s="263" t="s">
        <v>5</v>
      </c>
      <c r="V105" s="263" t="s">
        <v>44</v>
      </c>
      <c r="W105" s="263" t="s">
        <v>7</v>
      </c>
      <c r="X105" s="263" t="s">
        <v>8</v>
      </c>
      <c r="Y105" s="276" t="s">
        <v>2</v>
      </c>
      <c r="Z105" s="276" t="s">
        <v>3</v>
      </c>
      <c r="AA105" s="276" t="s">
        <v>4</v>
      </c>
      <c r="AB105" s="276" t="s">
        <v>5</v>
      </c>
      <c r="AC105" s="276" t="s">
        <v>44</v>
      </c>
      <c r="AD105" s="276" t="s">
        <v>7</v>
      </c>
      <c r="AE105" s="276" t="s">
        <v>8</v>
      </c>
      <c r="AF105" s="263" t="s">
        <v>2</v>
      </c>
      <c r="AG105" s="263" t="s">
        <v>3</v>
      </c>
      <c r="AH105" s="263" t="s">
        <v>4</v>
      </c>
      <c r="AJ105" s="368"/>
      <c r="AK105" s="368"/>
      <c r="AL105" s="368"/>
    </row>
    <row r="106" spans="3:38" ht="22.5" customHeight="1" x14ac:dyDescent="0.25">
      <c r="C106" s="377"/>
      <c r="D106" s="263">
        <v>1</v>
      </c>
      <c r="E106" s="263">
        <v>2</v>
      </c>
      <c r="F106" s="263">
        <v>3</v>
      </c>
      <c r="G106" s="263">
        <v>4</v>
      </c>
      <c r="H106" s="263">
        <v>5</v>
      </c>
      <c r="I106" s="263">
        <v>6</v>
      </c>
      <c r="J106" s="263">
        <v>7</v>
      </c>
      <c r="K106" s="276">
        <v>8</v>
      </c>
      <c r="L106" s="276">
        <v>9</v>
      </c>
      <c r="M106" s="276">
        <v>10</v>
      </c>
      <c r="N106" s="276">
        <v>11</v>
      </c>
      <c r="O106" s="276">
        <v>12</v>
      </c>
      <c r="P106" s="276">
        <v>13</v>
      </c>
      <c r="Q106" s="276">
        <v>14</v>
      </c>
      <c r="R106" s="263">
        <v>15</v>
      </c>
      <c r="S106" s="263">
        <v>16</v>
      </c>
      <c r="T106" s="263">
        <v>17</v>
      </c>
      <c r="U106" s="263">
        <v>18</v>
      </c>
      <c r="V106" s="263">
        <v>19</v>
      </c>
      <c r="W106" s="263">
        <v>20</v>
      </c>
      <c r="X106" s="263">
        <v>21</v>
      </c>
      <c r="Y106" s="276">
        <v>22</v>
      </c>
      <c r="Z106" s="276">
        <v>23</v>
      </c>
      <c r="AA106" s="276">
        <v>24</v>
      </c>
      <c r="AB106" s="276">
        <v>25</v>
      </c>
      <c r="AC106" s="276">
        <v>26</v>
      </c>
      <c r="AD106" s="276">
        <v>27</v>
      </c>
      <c r="AE106" s="276">
        <v>28</v>
      </c>
      <c r="AF106" s="263">
        <v>29</v>
      </c>
      <c r="AG106" s="263">
        <v>30</v>
      </c>
      <c r="AH106" s="263">
        <v>31</v>
      </c>
      <c r="AJ106" s="286" t="s">
        <v>25</v>
      </c>
      <c r="AK106" s="286" t="s">
        <v>26</v>
      </c>
      <c r="AL106" s="286" t="s">
        <v>27</v>
      </c>
    </row>
    <row r="107" spans="3:38" ht="22.5" customHeight="1" x14ac:dyDescent="0.25">
      <c r="C107" s="273" t="s">
        <v>14</v>
      </c>
      <c r="D107" s="264" t="b">
        <v>0</v>
      </c>
      <c r="E107" s="265" t="b">
        <v>0</v>
      </c>
      <c r="F107" s="265" t="b">
        <v>0</v>
      </c>
      <c r="G107" s="265" t="b">
        <v>0</v>
      </c>
      <c r="H107" s="265" t="b">
        <v>0</v>
      </c>
      <c r="I107" s="265" t="b">
        <v>0</v>
      </c>
      <c r="J107" s="266" t="b">
        <v>0</v>
      </c>
      <c r="K107" s="277" t="b">
        <v>0</v>
      </c>
      <c r="L107" s="278" t="b">
        <v>0</v>
      </c>
      <c r="M107" s="278" t="b">
        <v>0</v>
      </c>
      <c r="N107" s="278" t="b">
        <v>0</v>
      </c>
      <c r="O107" s="278" t="b">
        <v>0</v>
      </c>
      <c r="P107" s="278" t="b">
        <v>0</v>
      </c>
      <c r="Q107" s="279" t="b">
        <v>0</v>
      </c>
      <c r="R107" s="264" t="b">
        <v>0</v>
      </c>
      <c r="S107" s="265" t="b">
        <v>0</v>
      </c>
      <c r="T107" s="265" t="b">
        <v>0</v>
      </c>
      <c r="U107" s="265" t="b">
        <v>0</v>
      </c>
      <c r="V107" s="265" t="b">
        <v>0</v>
      </c>
      <c r="W107" s="265" t="b">
        <v>0</v>
      </c>
      <c r="X107" s="266" t="b">
        <v>0</v>
      </c>
      <c r="Y107" s="277" t="b">
        <v>0</v>
      </c>
      <c r="Z107" s="278" t="b">
        <v>0</v>
      </c>
      <c r="AA107" s="278" t="b">
        <v>0</v>
      </c>
      <c r="AB107" s="278" t="b">
        <v>0</v>
      </c>
      <c r="AC107" s="278" t="b">
        <v>0</v>
      </c>
      <c r="AD107" s="278" t="b">
        <v>0</v>
      </c>
      <c r="AE107" s="279" t="b">
        <v>0</v>
      </c>
      <c r="AF107" s="264" t="b">
        <v>0</v>
      </c>
      <c r="AG107" s="265" t="b">
        <v>0</v>
      </c>
      <c r="AH107" s="269" t="b">
        <v>0</v>
      </c>
      <c r="AJ107" s="23">
        <f>COUNTA(D107:AH107)</f>
        <v>31</v>
      </c>
      <c r="AK107" s="23">
        <f t="shared" ref="AK107:AK113" si="23">COUNTIF(D107:AG107, TRUE)</f>
        <v>0</v>
      </c>
      <c r="AL107" s="24">
        <f>AK107/AJ107</f>
        <v>0</v>
      </c>
    </row>
    <row r="108" spans="3:38" ht="22.5" customHeight="1" x14ac:dyDescent="0.25">
      <c r="C108" s="274" t="s">
        <v>15</v>
      </c>
      <c r="D108" s="267" t="b">
        <v>0</v>
      </c>
      <c r="E108" s="268" t="b">
        <v>0</v>
      </c>
      <c r="F108" s="268" t="b">
        <v>0</v>
      </c>
      <c r="G108" s="268" t="b">
        <v>0</v>
      </c>
      <c r="H108" s="268" t="b">
        <v>0</v>
      </c>
      <c r="I108" s="268" t="b">
        <v>0</v>
      </c>
      <c r="J108" s="269" t="b">
        <v>0</v>
      </c>
      <c r="K108" s="280" t="b">
        <v>0</v>
      </c>
      <c r="L108" s="281" t="b">
        <v>0</v>
      </c>
      <c r="M108" s="281" t="b">
        <v>0</v>
      </c>
      <c r="N108" s="281" t="b">
        <v>0</v>
      </c>
      <c r="O108" s="281" t="b">
        <v>0</v>
      </c>
      <c r="P108" s="281" t="b">
        <v>0</v>
      </c>
      <c r="Q108" s="282" t="b">
        <v>0</v>
      </c>
      <c r="R108" s="267" t="b">
        <v>0</v>
      </c>
      <c r="S108" s="268" t="b">
        <v>0</v>
      </c>
      <c r="T108" s="268" t="b">
        <v>0</v>
      </c>
      <c r="U108" s="268" t="b">
        <v>0</v>
      </c>
      <c r="V108" s="268" t="b">
        <v>0</v>
      </c>
      <c r="W108" s="268" t="b">
        <v>0</v>
      </c>
      <c r="X108" s="269" t="b">
        <v>0</v>
      </c>
      <c r="Y108" s="280" t="b">
        <v>0</v>
      </c>
      <c r="Z108" s="281" t="b">
        <v>0</v>
      </c>
      <c r="AA108" s="281" t="b">
        <v>0</v>
      </c>
      <c r="AB108" s="281" t="b">
        <v>0</v>
      </c>
      <c r="AC108" s="281" t="b">
        <v>0</v>
      </c>
      <c r="AD108" s="281" t="b">
        <v>0</v>
      </c>
      <c r="AE108" s="282" t="b">
        <v>0</v>
      </c>
      <c r="AF108" s="267" t="b">
        <v>0</v>
      </c>
      <c r="AG108" s="268" t="b">
        <v>0</v>
      </c>
      <c r="AH108" s="269" t="b">
        <v>0</v>
      </c>
      <c r="AJ108" s="23">
        <f t="shared" ref="AJ108:AJ113" si="24">COUNTA(D108:AH108)</f>
        <v>31</v>
      </c>
      <c r="AK108" s="23">
        <f t="shared" si="23"/>
        <v>0</v>
      </c>
      <c r="AL108" s="24">
        <f t="shared" ref="AL108:AL113" si="25">AK108/AJ108</f>
        <v>0</v>
      </c>
    </row>
    <row r="109" spans="3:38" ht="22.5" customHeight="1" x14ac:dyDescent="0.25">
      <c r="C109" s="274" t="s">
        <v>16</v>
      </c>
      <c r="D109" s="267" t="b">
        <v>0</v>
      </c>
      <c r="E109" s="268" t="b">
        <v>0</v>
      </c>
      <c r="F109" s="268" t="b">
        <v>0</v>
      </c>
      <c r="G109" s="268" t="b">
        <v>0</v>
      </c>
      <c r="H109" s="268" t="b">
        <v>0</v>
      </c>
      <c r="I109" s="268" t="b">
        <v>0</v>
      </c>
      <c r="J109" s="269" t="b">
        <v>0</v>
      </c>
      <c r="K109" s="280" t="b">
        <v>0</v>
      </c>
      <c r="L109" s="281" t="b">
        <v>0</v>
      </c>
      <c r="M109" s="281" t="b">
        <v>0</v>
      </c>
      <c r="N109" s="281" t="b">
        <v>0</v>
      </c>
      <c r="O109" s="281" t="b">
        <v>0</v>
      </c>
      <c r="P109" s="281" t="b">
        <v>0</v>
      </c>
      <c r="Q109" s="282" t="b">
        <v>0</v>
      </c>
      <c r="R109" s="267" t="b">
        <v>0</v>
      </c>
      <c r="S109" s="268" t="b">
        <v>0</v>
      </c>
      <c r="T109" s="268" t="b">
        <v>0</v>
      </c>
      <c r="U109" s="268" t="b">
        <v>0</v>
      </c>
      <c r="V109" s="268" t="b">
        <v>0</v>
      </c>
      <c r="W109" s="268" t="b">
        <v>0</v>
      </c>
      <c r="X109" s="269" t="b">
        <v>0</v>
      </c>
      <c r="Y109" s="280" t="b">
        <v>0</v>
      </c>
      <c r="Z109" s="281" t="b">
        <v>0</v>
      </c>
      <c r="AA109" s="281" t="b">
        <v>0</v>
      </c>
      <c r="AB109" s="281" t="b">
        <v>0</v>
      </c>
      <c r="AC109" s="281" t="b">
        <v>0</v>
      </c>
      <c r="AD109" s="281" t="b">
        <v>0</v>
      </c>
      <c r="AE109" s="282" t="b">
        <v>0</v>
      </c>
      <c r="AF109" s="267" t="b">
        <v>0</v>
      </c>
      <c r="AG109" s="268" t="b">
        <v>0</v>
      </c>
      <c r="AH109" s="269" t="b">
        <v>0</v>
      </c>
      <c r="AJ109" s="23">
        <f t="shared" si="24"/>
        <v>31</v>
      </c>
      <c r="AK109" s="23">
        <f t="shared" si="23"/>
        <v>0</v>
      </c>
      <c r="AL109" s="24">
        <f t="shared" si="25"/>
        <v>0</v>
      </c>
    </row>
    <row r="110" spans="3:38" ht="22.5" customHeight="1" x14ac:dyDescent="0.25">
      <c r="C110" s="274" t="s">
        <v>17</v>
      </c>
      <c r="D110" s="267" t="b">
        <v>0</v>
      </c>
      <c r="E110" s="268" t="b">
        <v>0</v>
      </c>
      <c r="F110" s="268" t="b">
        <v>0</v>
      </c>
      <c r="G110" s="268" t="b">
        <v>0</v>
      </c>
      <c r="H110" s="268" t="b">
        <v>0</v>
      </c>
      <c r="I110" s="268" t="b">
        <v>0</v>
      </c>
      <c r="J110" s="269" t="b">
        <v>0</v>
      </c>
      <c r="K110" s="280" t="b">
        <v>0</v>
      </c>
      <c r="L110" s="281" t="b">
        <v>0</v>
      </c>
      <c r="M110" s="281" t="b">
        <v>0</v>
      </c>
      <c r="N110" s="281" t="b">
        <v>0</v>
      </c>
      <c r="O110" s="281" t="b">
        <v>0</v>
      </c>
      <c r="P110" s="281" t="b">
        <v>0</v>
      </c>
      <c r="Q110" s="282" t="b">
        <v>0</v>
      </c>
      <c r="R110" s="267" t="b">
        <v>0</v>
      </c>
      <c r="S110" s="268" t="b">
        <v>0</v>
      </c>
      <c r="T110" s="268" t="b">
        <v>0</v>
      </c>
      <c r="U110" s="268" t="b">
        <v>0</v>
      </c>
      <c r="V110" s="268" t="b">
        <v>0</v>
      </c>
      <c r="W110" s="268" t="b">
        <v>0</v>
      </c>
      <c r="X110" s="269" t="b">
        <v>0</v>
      </c>
      <c r="Y110" s="280" t="b">
        <v>0</v>
      </c>
      <c r="Z110" s="281" t="b">
        <v>0</v>
      </c>
      <c r="AA110" s="281" t="b">
        <v>0</v>
      </c>
      <c r="AB110" s="281" t="b">
        <v>0</v>
      </c>
      <c r="AC110" s="281" t="b">
        <v>0</v>
      </c>
      <c r="AD110" s="281" t="b">
        <v>0</v>
      </c>
      <c r="AE110" s="282" t="b">
        <v>0</v>
      </c>
      <c r="AF110" s="267" t="b">
        <v>0</v>
      </c>
      <c r="AG110" s="268" t="b">
        <v>0</v>
      </c>
      <c r="AH110" s="269" t="b">
        <v>0</v>
      </c>
      <c r="AJ110" s="23">
        <f t="shared" si="24"/>
        <v>31</v>
      </c>
      <c r="AK110" s="23">
        <f t="shared" si="23"/>
        <v>0</v>
      </c>
      <c r="AL110" s="24">
        <f t="shared" si="25"/>
        <v>0</v>
      </c>
    </row>
    <row r="111" spans="3:38" ht="22.5" customHeight="1" x14ac:dyDescent="0.25">
      <c r="C111" s="274" t="s">
        <v>19</v>
      </c>
      <c r="D111" s="267" t="b">
        <v>0</v>
      </c>
      <c r="E111" s="268" t="b">
        <v>0</v>
      </c>
      <c r="F111" s="268" t="b">
        <v>0</v>
      </c>
      <c r="G111" s="268" t="b">
        <v>0</v>
      </c>
      <c r="H111" s="268" t="b">
        <v>0</v>
      </c>
      <c r="I111" s="268" t="b">
        <v>0</v>
      </c>
      <c r="J111" s="269" t="b">
        <v>0</v>
      </c>
      <c r="K111" s="280" t="b">
        <v>0</v>
      </c>
      <c r="L111" s="281" t="b">
        <v>0</v>
      </c>
      <c r="M111" s="281" t="b">
        <v>0</v>
      </c>
      <c r="N111" s="281" t="b">
        <v>0</v>
      </c>
      <c r="O111" s="281" t="b">
        <v>0</v>
      </c>
      <c r="P111" s="281" t="b">
        <v>0</v>
      </c>
      <c r="Q111" s="282" t="b">
        <v>0</v>
      </c>
      <c r="R111" s="267" t="b">
        <v>0</v>
      </c>
      <c r="S111" s="268" t="b">
        <v>0</v>
      </c>
      <c r="T111" s="268" t="b">
        <v>0</v>
      </c>
      <c r="U111" s="268" t="b">
        <v>0</v>
      </c>
      <c r="V111" s="268" t="b">
        <v>0</v>
      </c>
      <c r="W111" s="268" t="b">
        <v>0</v>
      </c>
      <c r="X111" s="269" t="b">
        <v>0</v>
      </c>
      <c r="Y111" s="280" t="b">
        <v>0</v>
      </c>
      <c r="Z111" s="281" t="b">
        <v>0</v>
      </c>
      <c r="AA111" s="281" t="b">
        <v>0</v>
      </c>
      <c r="AB111" s="281" t="b">
        <v>0</v>
      </c>
      <c r="AC111" s="281" t="b">
        <v>0</v>
      </c>
      <c r="AD111" s="281" t="b">
        <v>0</v>
      </c>
      <c r="AE111" s="282" t="b">
        <v>0</v>
      </c>
      <c r="AF111" s="267" t="b">
        <v>0</v>
      </c>
      <c r="AG111" s="268" t="b">
        <v>0</v>
      </c>
      <c r="AH111" s="269" t="b">
        <v>0</v>
      </c>
      <c r="AJ111" s="23">
        <f t="shared" si="24"/>
        <v>31</v>
      </c>
      <c r="AK111" s="23">
        <f t="shared" si="23"/>
        <v>0</v>
      </c>
      <c r="AL111" s="24">
        <f t="shared" si="25"/>
        <v>0</v>
      </c>
    </row>
    <row r="112" spans="3:38" ht="22.5" customHeight="1" x14ac:dyDescent="0.25">
      <c r="C112" s="274" t="s">
        <v>20</v>
      </c>
      <c r="D112" s="267" t="b">
        <v>0</v>
      </c>
      <c r="E112" s="268" t="b">
        <v>0</v>
      </c>
      <c r="F112" s="268" t="b">
        <v>0</v>
      </c>
      <c r="G112" s="268" t="b">
        <v>0</v>
      </c>
      <c r="H112" s="268" t="b">
        <v>0</v>
      </c>
      <c r="I112" s="268" t="b">
        <v>0</v>
      </c>
      <c r="J112" s="269" t="b">
        <v>0</v>
      </c>
      <c r="K112" s="280" t="b">
        <v>0</v>
      </c>
      <c r="L112" s="281" t="b">
        <v>0</v>
      </c>
      <c r="M112" s="281" t="b">
        <v>0</v>
      </c>
      <c r="N112" s="281" t="b">
        <v>0</v>
      </c>
      <c r="O112" s="281" t="b">
        <v>0</v>
      </c>
      <c r="P112" s="281" t="b">
        <v>0</v>
      </c>
      <c r="Q112" s="282" t="b">
        <v>0</v>
      </c>
      <c r="R112" s="267" t="b">
        <v>0</v>
      </c>
      <c r="S112" s="268" t="b">
        <v>0</v>
      </c>
      <c r="T112" s="268" t="b">
        <v>0</v>
      </c>
      <c r="U112" s="268" t="b">
        <v>0</v>
      </c>
      <c r="V112" s="268" t="b">
        <v>0</v>
      </c>
      <c r="W112" s="268" t="b">
        <v>0</v>
      </c>
      <c r="X112" s="269" t="b">
        <v>0</v>
      </c>
      <c r="Y112" s="280" t="b">
        <v>0</v>
      </c>
      <c r="Z112" s="281" t="b">
        <v>0</v>
      </c>
      <c r="AA112" s="281" t="b">
        <v>0</v>
      </c>
      <c r="AB112" s="281" t="b">
        <v>0</v>
      </c>
      <c r="AC112" s="281" t="b">
        <v>0</v>
      </c>
      <c r="AD112" s="281" t="b">
        <v>0</v>
      </c>
      <c r="AE112" s="282" t="b">
        <v>0</v>
      </c>
      <c r="AF112" s="267" t="b">
        <v>0</v>
      </c>
      <c r="AG112" s="268" t="b">
        <v>0</v>
      </c>
      <c r="AH112" s="269" t="b">
        <v>0</v>
      </c>
      <c r="AJ112" s="23">
        <f t="shared" si="24"/>
        <v>31</v>
      </c>
      <c r="AK112" s="23">
        <f t="shared" si="23"/>
        <v>0</v>
      </c>
      <c r="AL112" s="24">
        <f t="shared" si="25"/>
        <v>0</v>
      </c>
    </row>
    <row r="113" spans="3:38" ht="22.5" customHeight="1" x14ac:dyDescent="0.25">
      <c r="C113" s="275" t="s">
        <v>18</v>
      </c>
      <c r="D113" s="270" t="b">
        <v>0</v>
      </c>
      <c r="E113" s="271" t="b">
        <v>0</v>
      </c>
      <c r="F113" s="271" t="b">
        <v>0</v>
      </c>
      <c r="G113" s="271" t="b">
        <v>0</v>
      </c>
      <c r="H113" s="271" t="b">
        <v>0</v>
      </c>
      <c r="I113" s="271" t="b">
        <v>0</v>
      </c>
      <c r="J113" s="272" t="b">
        <v>0</v>
      </c>
      <c r="K113" s="283" t="b">
        <v>0</v>
      </c>
      <c r="L113" s="284" t="b">
        <v>0</v>
      </c>
      <c r="M113" s="284" t="b">
        <v>0</v>
      </c>
      <c r="N113" s="284" t="b">
        <v>0</v>
      </c>
      <c r="O113" s="284" t="b">
        <v>0</v>
      </c>
      <c r="P113" s="284" t="b">
        <v>0</v>
      </c>
      <c r="Q113" s="285" t="b">
        <v>0</v>
      </c>
      <c r="R113" s="270" t="b">
        <v>0</v>
      </c>
      <c r="S113" s="271" t="b">
        <v>0</v>
      </c>
      <c r="T113" s="271" t="b">
        <v>0</v>
      </c>
      <c r="U113" s="271" t="b">
        <v>0</v>
      </c>
      <c r="V113" s="271" t="b">
        <v>0</v>
      </c>
      <c r="W113" s="271" t="b">
        <v>0</v>
      </c>
      <c r="X113" s="272" t="b">
        <v>0</v>
      </c>
      <c r="Y113" s="283" t="b">
        <v>0</v>
      </c>
      <c r="Z113" s="284" t="b">
        <v>0</v>
      </c>
      <c r="AA113" s="284" t="b">
        <v>0</v>
      </c>
      <c r="AB113" s="284" t="b">
        <v>0</v>
      </c>
      <c r="AC113" s="284" t="b">
        <v>0</v>
      </c>
      <c r="AD113" s="284" t="b">
        <v>0</v>
      </c>
      <c r="AE113" s="285" t="b">
        <v>0</v>
      </c>
      <c r="AF113" s="270" t="b">
        <v>0</v>
      </c>
      <c r="AG113" s="271" t="b">
        <v>0</v>
      </c>
      <c r="AH113" s="269" t="b">
        <v>0</v>
      </c>
      <c r="AJ113" s="23">
        <f t="shared" si="24"/>
        <v>31</v>
      </c>
      <c r="AK113" s="23">
        <f t="shared" si="23"/>
        <v>0</v>
      </c>
      <c r="AL113" s="24">
        <f t="shared" si="25"/>
        <v>0</v>
      </c>
    </row>
    <row r="115" spans="3:38" ht="22.5" customHeight="1" x14ac:dyDescent="0.25">
      <c r="C115" s="289"/>
      <c r="D115" s="371" t="s">
        <v>50</v>
      </c>
      <c r="E115" s="371"/>
      <c r="F115" s="371"/>
      <c r="G115" s="371"/>
      <c r="H115" s="371"/>
      <c r="I115" s="371"/>
      <c r="J115" s="371"/>
      <c r="K115" s="290"/>
      <c r="L115" s="290"/>
      <c r="M115" s="290"/>
      <c r="N115" s="291" t="s">
        <v>21</v>
      </c>
      <c r="O115" s="290"/>
      <c r="P115" s="290"/>
      <c r="Q115" s="290"/>
      <c r="R115" s="290"/>
      <c r="S115" s="291" t="s">
        <v>23</v>
      </c>
      <c r="T115" s="290"/>
      <c r="U115" s="292"/>
      <c r="V115" s="290"/>
      <c r="W115" s="290"/>
      <c r="X115" s="291" t="s">
        <v>27</v>
      </c>
      <c r="Y115" s="290"/>
      <c r="Z115" s="290"/>
      <c r="AA115" s="290"/>
      <c r="AB115" s="291" t="s">
        <v>28</v>
      </c>
      <c r="AC115" s="290"/>
      <c r="AD115" s="290"/>
      <c r="AE115" s="290"/>
      <c r="AF115" s="290"/>
      <c r="AG115" s="290"/>
    </row>
    <row r="116" spans="3:38" ht="22.5" customHeight="1" x14ac:dyDescent="0.25">
      <c r="C116" s="293"/>
      <c r="D116" s="372"/>
      <c r="E116" s="372"/>
      <c r="F116" s="372"/>
      <c r="G116" s="372"/>
      <c r="H116" s="372"/>
      <c r="I116" s="372"/>
      <c r="J116" s="372"/>
      <c r="K116" s="294"/>
      <c r="L116" s="294"/>
      <c r="M116" s="294"/>
      <c r="N116" s="295">
        <f>COUNTA(C121:C127)</f>
        <v>7</v>
      </c>
      <c r="O116" s="294"/>
      <c r="P116" s="294"/>
      <c r="Q116" s="294"/>
      <c r="R116" s="294"/>
      <c r="S116" s="295">
        <f>COUNTIF(D121:AG127,TRUE)</f>
        <v>0</v>
      </c>
      <c r="T116" s="294"/>
      <c r="U116" s="296"/>
      <c r="V116" s="294"/>
      <c r="W116" s="373">
        <f>COUNTIF(D121:AG127, TRUE)/(COUNTA(D120:AG120)*COUNTA(C121:C127))</f>
        <v>0</v>
      </c>
      <c r="X116" s="373"/>
      <c r="Y116" s="373"/>
      <c r="Z116" s="294"/>
      <c r="AA116" s="294"/>
      <c r="AB116" s="297">
        <f>COUNTIF(D121:AG127, TRUE)/(COUNTA(D120:AG120)*COUNTA(C121:C127))</f>
        <v>0</v>
      </c>
      <c r="AC116" s="294"/>
      <c r="AD116" s="294"/>
      <c r="AE116" s="294"/>
      <c r="AF116" s="294"/>
      <c r="AG116" s="294"/>
    </row>
    <row r="118" spans="3:38" ht="22.5" customHeight="1" x14ac:dyDescent="0.25">
      <c r="C118" s="366" t="s">
        <v>1</v>
      </c>
      <c r="D118" s="364" t="s">
        <v>9</v>
      </c>
      <c r="E118" s="364"/>
      <c r="F118" s="364"/>
      <c r="G118" s="364"/>
      <c r="H118" s="364"/>
      <c r="I118" s="364"/>
      <c r="J118" s="364"/>
      <c r="K118" s="367" t="s">
        <v>10</v>
      </c>
      <c r="L118" s="367"/>
      <c r="M118" s="367"/>
      <c r="N118" s="367"/>
      <c r="O118" s="367"/>
      <c r="P118" s="367"/>
      <c r="Q118" s="367"/>
      <c r="R118" s="364" t="s">
        <v>11</v>
      </c>
      <c r="S118" s="364"/>
      <c r="T118" s="364"/>
      <c r="U118" s="364"/>
      <c r="V118" s="364"/>
      <c r="W118" s="364"/>
      <c r="X118" s="364"/>
      <c r="Y118" s="367" t="s">
        <v>12</v>
      </c>
      <c r="Z118" s="367"/>
      <c r="AA118" s="367"/>
      <c r="AB118" s="367"/>
      <c r="AC118" s="367"/>
      <c r="AD118" s="367"/>
      <c r="AE118" s="367"/>
      <c r="AF118" s="364" t="s">
        <v>13</v>
      </c>
      <c r="AG118" s="364"/>
      <c r="AI118" s="365" t="s">
        <v>24</v>
      </c>
      <c r="AJ118" s="365"/>
      <c r="AK118" s="365"/>
    </row>
    <row r="119" spans="3:38" ht="22.5" customHeight="1" x14ac:dyDescent="0.25">
      <c r="C119" s="366"/>
      <c r="D119" s="311" t="s">
        <v>5</v>
      </c>
      <c r="E119" s="311" t="s">
        <v>44</v>
      </c>
      <c r="F119" s="311" t="s">
        <v>7</v>
      </c>
      <c r="G119" s="311" t="s">
        <v>8</v>
      </c>
      <c r="H119" s="311" t="s">
        <v>2</v>
      </c>
      <c r="I119" s="311" t="s">
        <v>3</v>
      </c>
      <c r="J119" s="311" t="s">
        <v>4</v>
      </c>
      <c r="K119" s="301" t="s">
        <v>5</v>
      </c>
      <c r="L119" s="301" t="s">
        <v>44</v>
      </c>
      <c r="M119" s="301" t="s">
        <v>7</v>
      </c>
      <c r="N119" s="301" t="s">
        <v>8</v>
      </c>
      <c r="O119" s="301" t="s">
        <v>2</v>
      </c>
      <c r="P119" s="301" t="s">
        <v>3</v>
      </c>
      <c r="Q119" s="301" t="s">
        <v>4</v>
      </c>
      <c r="R119" s="311" t="s">
        <v>5</v>
      </c>
      <c r="S119" s="311" t="s">
        <v>44</v>
      </c>
      <c r="T119" s="311" t="s">
        <v>7</v>
      </c>
      <c r="U119" s="311" t="s">
        <v>8</v>
      </c>
      <c r="V119" s="311" t="s">
        <v>2</v>
      </c>
      <c r="W119" s="311" t="s">
        <v>3</v>
      </c>
      <c r="X119" s="311" t="s">
        <v>4</v>
      </c>
      <c r="Y119" s="301" t="s">
        <v>5</v>
      </c>
      <c r="Z119" s="301" t="s">
        <v>44</v>
      </c>
      <c r="AA119" s="301" t="s">
        <v>7</v>
      </c>
      <c r="AB119" s="301" t="s">
        <v>8</v>
      </c>
      <c r="AC119" s="301" t="s">
        <v>2</v>
      </c>
      <c r="AD119" s="301" t="s">
        <v>3</v>
      </c>
      <c r="AE119" s="301" t="s">
        <v>4</v>
      </c>
      <c r="AF119" s="311" t="s">
        <v>5</v>
      </c>
      <c r="AG119" s="311" t="s">
        <v>44</v>
      </c>
      <c r="AI119" s="365"/>
      <c r="AJ119" s="365"/>
      <c r="AK119" s="365"/>
    </row>
    <row r="120" spans="3:38" ht="22.5" customHeight="1" x14ac:dyDescent="0.25">
      <c r="C120" s="366"/>
      <c r="D120" s="311">
        <v>1</v>
      </c>
      <c r="E120" s="311">
        <v>2</v>
      </c>
      <c r="F120" s="311">
        <v>3</v>
      </c>
      <c r="G120" s="311">
        <v>4</v>
      </c>
      <c r="H120" s="311">
        <v>5</v>
      </c>
      <c r="I120" s="311">
        <v>6</v>
      </c>
      <c r="J120" s="311">
        <v>7</v>
      </c>
      <c r="K120" s="301">
        <v>8</v>
      </c>
      <c r="L120" s="301">
        <v>9</v>
      </c>
      <c r="M120" s="301">
        <v>10</v>
      </c>
      <c r="N120" s="301">
        <v>11</v>
      </c>
      <c r="O120" s="301">
        <v>12</v>
      </c>
      <c r="P120" s="301">
        <v>13</v>
      </c>
      <c r="Q120" s="301">
        <v>14</v>
      </c>
      <c r="R120" s="311">
        <v>15</v>
      </c>
      <c r="S120" s="311">
        <v>16</v>
      </c>
      <c r="T120" s="311">
        <v>17</v>
      </c>
      <c r="U120" s="311">
        <v>18</v>
      </c>
      <c r="V120" s="311">
        <v>19</v>
      </c>
      <c r="W120" s="311">
        <v>20</v>
      </c>
      <c r="X120" s="311">
        <v>21</v>
      </c>
      <c r="Y120" s="301">
        <v>22</v>
      </c>
      <c r="Z120" s="301">
        <v>23</v>
      </c>
      <c r="AA120" s="301">
        <v>24</v>
      </c>
      <c r="AB120" s="301">
        <v>25</v>
      </c>
      <c r="AC120" s="301">
        <v>26</v>
      </c>
      <c r="AD120" s="301">
        <v>27</v>
      </c>
      <c r="AE120" s="301">
        <v>28</v>
      </c>
      <c r="AF120" s="311">
        <v>29</v>
      </c>
      <c r="AG120" s="311">
        <v>30</v>
      </c>
      <c r="AI120" s="321" t="s">
        <v>25</v>
      </c>
      <c r="AJ120" s="321" t="s">
        <v>26</v>
      </c>
      <c r="AK120" s="321" t="s">
        <v>27</v>
      </c>
    </row>
    <row r="121" spans="3:38" ht="22.5" customHeight="1" x14ac:dyDescent="0.25">
      <c r="C121" s="298" t="s">
        <v>14</v>
      </c>
      <c r="D121" s="312" t="b">
        <v>0</v>
      </c>
      <c r="E121" s="313" t="b">
        <v>0</v>
      </c>
      <c r="F121" s="313" t="b">
        <v>0</v>
      </c>
      <c r="G121" s="313" t="b">
        <v>0</v>
      </c>
      <c r="H121" s="313" t="b">
        <v>0</v>
      </c>
      <c r="I121" s="313" t="b">
        <v>0</v>
      </c>
      <c r="J121" s="314" t="b">
        <v>0</v>
      </c>
      <c r="K121" s="302" t="b">
        <v>0</v>
      </c>
      <c r="L121" s="303" t="b">
        <v>0</v>
      </c>
      <c r="M121" s="303" t="b">
        <v>0</v>
      </c>
      <c r="N121" s="303" t="b">
        <v>0</v>
      </c>
      <c r="O121" s="303" t="b">
        <v>0</v>
      </c>
      <c r="P121" s="303" t="b">
        <v>0</v>
      </c>
      <c r="Q121" s="304" t="b">
        <v>0</v>
      </c>
      <c r="R121" s="312" t="b">
        <v>0</v>
      </c>
      <c r="S121" s="313" t="b">
        <v>0</v>
      </c>
      <c r="T121" s="313" t="b">
        <v>0</v>
      </c>
      <c r="U121" s="313" t="b">
        <v>0</v>
      </c>
      <c r="V121" s="313" t="b">
        <v>0</v>
      </c>
      <c r="W121" s="313" t="b">
        <v>0</v>
      </c>
      <c r="X121" s="314" t="b">
        <v>0</v>
      </c>
      <c r="Y121" s="302" t="b">
        <v>0</v>
      </c>
      <c r="Z121" s="303" t="b">
        <v>0</v>
      </c>
      <c r="AA121" s="303" t="b">
        <v>0</v>
      </c>
      <c r="AB121" s="303" t="b">
        <v>0</v>
      </c>
      <c r="AC121" s="303" t="b">
        <v>0</v>
      </c>
      <c r="AD121" s="303" t="b">
        <v>0</v>
      </c>
      <c r="AE121" s="304" t="b">
        <v>0</v>
      </c>
      <c r="AF121" s="312" t="b">
        <v>0</v>
      </c>
      <c r="AG121" s="314" t="b">
        <v>0</v>
      </c>
      <c r="AI121" s="23">
        <f>COUNTA(D121:AG121)</f>
        <v>30</v>
      </c>
      <c r="AJ121" s="23">
        <f t="shared" ref="AJ121:AJ127" si="26">COUNTIF(D121:AG121, TRUE)</f>
        <v>0</v>
      </c>
      <c r="AK121" s="24">
        <f>AJ121/AI121</f>
        <v>0</v>
      </c>
    </row>
    <row r="122" spans="3:38" ht="22.5" customHeight="1" x14ac:dyDescent="0.25">
      <c r="C122" s="299" t="s">
        <v>15</v>
      </c>
      <c r="D122" s="315" t="b">
        <v>0</v>
      </c>
      <c r="E122" s="316" t="b">
        <v>0</v>
      </c>
      <c r="F122" s="316" t="b">
        <v>0</v>
      </c>
      <c r="G122" s="316" t="b">
        <v>0</v>
      </c>
      <c r="H122" s="316" t="b">
        <v>0</v>
      </c>
      <c r="I122" s="316" t="b">
        <v>0</v>
      </c>
      <c r="J122" s="317" t="b">
        <v>0</v>
      </c>
      <c r="K122" s="305" t="b">
        <v>0</v>
      </c>
      <c r="L122" s="306" t="b">
        <v>0</v>
      </c>
      <c r="M122" s="306" t="b">
        <v>0</v>
      </c>
      <c r="N122" s="306" t="b">
        <v>0</v>
      </c>
      <c r="O122" s="306" t="b">
        <v>0</v>
      </c>
      <c r="P122" s="306" t="b">
        <v>0</v>
      </c>
      <c r="Q122" s="307" t="b">
        <v>0</v>
      </c>
      <c r="R122" s="315" t="b">
        <v>0</v>
      </c>
      <c r="S122" s="316" t="b">
        <v>0</v>
      </c>
      <c r="T122" s="316" t="b">
        <v>0</v>
      </c>
      <c r="U122" s="316" t="b">
        <v>0</v>
      </c>
      <c r="V122" s="316" t="b">
        <v>0</v>
      </c>
      <c r="W122" s="316" t="b">
        <v>0</v>
      </c>
      <c r="X122" s="317" t="b">
        <v>0</v>
      </c>
      <c r="Y122" s="305" t="b">
        <v>0</v>
      </c>
      <c r="Z122" s="306" t="b">
        <v>0</v>
      </c>
      <c r="AA122" s="306" t="b">
        <v>0</v>
      </c>
      <c r="AB122" s="306" t="b">
        <v>0</v>
      </c>
      <c r="AC122" s="306" t="b">
        <v>0</v>
      </c>
      <c r="AD122" s="306" t="b">
        <v>0</v>
      </c>
      <c r="AE122" s="307" t="b">
        <v>0</v>
      </c>
      <c r="AF122" s="315" t="b">
        <v>0</v>
      </c>
      <c r="AG122" s="317" t="b">
        <v>0</v>
      </c>
      <c r="AI122" s="23">
        <f>COUNTA(D122:AG122)</f>
        <v>30</v>
      </c>
      <c r="AJ122" s="23">
        <f t="shared" si="26"/>
        <v>0</v>
      </c>
      <c r="AK122" s="24">
        <f t="shared" ref="AK122:AK127" si="27">AJ122/AI122</f>
        <v>0</v>
      </c>
    </row>
    <row r="123" spans="3:38" ht="22.5" customHeight="1" x14ac:dyDescent="0.25">
      <c r="C123" s="299" t="s">
        <v>16</v>
      </c>
      <c r="D123" s="315" t="b">
        <v>0</v>
      </c>
      <c r="E123" s="316" t="b">
        <v>0</v>
      </c>
      <c r="F123" s="316" t="b">
        <v>0</v>
      </c>
      <c r="G123" s="316" t="b">
        <v>0</v>
      </c>
      <c r="H123" s="316" t="b">
        <v>0</v>
      </c>
      <c r="I123" s="316" t="b">
        <v>0</v>
      </c>
      <c r="J123" s="317" t="b">
        <v>0</v>
      </c>
      <c r="K123" s="305" t="b">
        <v>0</v>
      </c>
      <c r="L123" s="306" t="b">
        <v>0</v>
      </c>
      <c r="M123" s="306" t="b">
        <v>0</v>
      </c>
      <c r="N123" s="306" t="b">
        <v>0</v>
      </c>
      <c r="O123" s="306" t="b">
        <v>0</v>
      </c>
      <c r="P123" s="306" t="b">
        <v>0</v>
      </c>
      <c r="Q123" s="307" t="b">
        <v>0</v>
      </c>
      <c r="R123" s="315" t="b">
        <v>0</v>
      </c>
      <c r="S123" s="316" t="b">
        <v>0</v>
      </c>
      <c r="T123" s="316" t="b">
        <v>0</v>
      </c>
      <c r="U123" s="316" t="b">
        <v>0</v>
      </c>
      <c r="V123" s="316" t="b">
        <v>0</v>
      </c>
      <c r="W123" s="316" t="b">
        <v>0</v>
      </c>
      <c r="X123" s="317" t="b">
        <v>0</v>
      </c>
      <c r="Y123" s="305" t="b">
        <v>0</v>
      </c>
      <c r="Z123" s="306" t="b">
        <v>0</v>
      </c>
      <c r="AA123" s="306" t="b">
        <v>0</v>
      </c>
      <c r="AB123" s="306" t="b">
        <v>0</v>
      </c>
      <c r="AC123" s="306" t="b">
        <v>0</v>
      </c>
      <c r="AD123" s="306" t="b">
        <v>0</v>
      </c>
      <c r="AE123" s="307" t="b">
        <v>0</v>
      </c>
      <c r="AF123" s="315" t="b">
        <v>0</v>
      </c>
      <c r="AG123" s="317" t="b">
        <v>0</v>
      </c>
      <c r="AI123" s="23">
        <f t="shared" ref="AI123:AI127" si="28">COUNTA(D123:AG123)</f>
        <v>30</v>
      </c>
      <c r="AJ123" s="23">
        <f t="shared" si="26"/>
        <v>0</v>
      </c>
      <c r="AK123" s="24">
        <f t="shared" si="27"/>
        <v>0</v>
      </c>
    </row>
    <row r="124" spans="3:38" ht="22.5" customHeight="1" x14ac:dyDescent="0.25">
      <c r="C124" s="299" t="s">
        <v>17</v>
      </c>
      <c r="D124" s="315" t="b">
        <v>0</v>
      </c>
      <c r="E124" s="316" t="b">
        <v>0</v>
      </c>
      <c r="F124" s="316" t="b">
        <v>0</v>
      </c>
      <c r="G124" s="316" t="b">
        <v>0</v>
      </c>
      <c r="H124" s="316" t="b">
        <v>0</v>
      </c>
      <c r="I124" s="316" t="b">
        <v>0</v>
      </c>
      <c r="J124" s="317" t="b">
        <v>0</v>
      </c>
      <c r="K124" s="305" t="b">
        <v>0</v>
      </c>
      <c r="L124" s="306" t="b">
        <v>0</v>
      </c>
      <c r="M124" s="306" t="b">
        <v>0</v>
      </c>
      <c r="N124" s="306" t="b">
        <v>0</v>
      </c>
      <c r="O124" s="306" t="b">
        <v>0</v>
      </c>
      <c r="P124" s="306" t="b">
        <v>0</v>
      </c>
      <c r="Q124" s="307" t="b">
        <v>0</v>
      </c>
      <c r="R124" s="315" t="b">
        <v>0</v>
      </c>
      <c r="S124" s="316" t="b">
        <v>0</v>
      </c>
      <c r="T124" s="316" t="b">
        <v>0</v>
      </c>
      <c r="U124" s="316" t="b">
        <v>0</v>
      </c>
      <c r="V124" s="316" t="b">
        <v>0</v>
      </c>
      <c r="W124" s="316" t="b">
        <v>0</v>
      </c>
      <c r="X124" s="317" t="b">
        <v>0</v>
      </c>
      <c r="Y124" s="305" t="b">
        <v>0</v>
      </c>
      <c r="Z124" s="306" t="b">
        <v>0</v>
      </c>
      <c r="AA124" s="306" t="b">
        <v>0</v>
      </c>
      <c r="AB124" s="306" t="b">
        <v>0</v>
      </c>
      <c r="AC124" s="306" t="b">
        <v>0</v>
      </c>
      <c r="AD124" s="306" t="b">
        <v>0</v>
      </c>
      <c r="AE124" s="307" t="b">
        <v>0</v>
      </c>
      <c r="AF124" s="315" t="b">
        <v>0</v>
      </c>
      <c r="AG124" s="317" t="b">
        <v>0</v>
      </c>
      <c r="AI124" s="23">
        <f t="shared" si="28"/>
        <v>30</v>
      </c>
      <c r="AJ124" s="23">
        <f t="shared" si="26"/>
        <v>0</v>
      </c>
      <c r="AK124" s="24">
        <f t="shared" si="27"/>
        <v>0</v>
      </c>
    </row>
    <row r="125" spans="3:38" ht="22.5" customHeight="1" x14ac:dyDescent="0.25">
      <c r="C125" s="299" t="s">
        <v>19</v>
      </c>
      <c r="D125" s="315" t="b">
        <v>0</v>
      </c>
      <c r="E125" s="316" t="b">
        <v>0</v>
      </c>
      <c r="F125" s="316" t="b">
        <v>0</v>
      </c>
      <c r="G125" s="316" t="b">
        <v>0</v>
      </c>
      <c r="H125" s="316" t="b">
        <v>0</v>
      </c>
      <c r="I125" s="316" t="b">
        <v>0</v>
      </c>
      <c r="J125" s="317" t="b">
        <v>0</v>
      </c>
      <c r="K125" s="305" t="b">
        <v>0</v>
      </c>
      <c r="L125" s="306" t="b">
        <v>0</v>
      </c>
      <c r="M125" s="306" t="b">
        <v>0</v>
      </c>
      <c r="N125" s="306" t="b">
        <v>0</v>
      </c>
      <c r="O125" s="306" t="b">
        <v>0</v>
      </c>
      <c r="P125" s="306" t="b">
        <v>0</v>
      </c>
      <c r="Q125" s="307" t="b">
        <v>0</v>
      </c>
      <c r="R125" s="315" t="b">
        <v>0</v>
      </c>
      <c r="S125" s="316" t="b">
        <v>0</v>
      </c>
      <c r="T125" s="316" t="b">
        <v>0</v>
      </c>
      <c r="U125" s="316" t="b">
        <v>0</v>
      </c>
      <c r="V125" s="316" t="b">
        <v>0</v>
      </c>
      <c r="W125" s="316" t="b">
        <v>0</v>
      </c>
      <c r="X125" s="317" t="b">
        <v>0</v>
      </c>
      <c r="Y125" s="305" t="b">
        <v>0</v>
      </c>
      <c r="Z125" s="306" t="b">
        <v>0</v>
      </c>
      <c r="AA125" s="306" t="b">
        <v>0</v>
      </c>
      <c r="AB125" s="306" t="b">
        <v>0</v>
      </c>
      <c r="AC125" s="306" t="b">
        <v>0</v>
      </c>
      <c r="AD125" s="306" t="b">
        <v>0</v>
      </c>
      <c r="AE125" s="307" t="b">
        <v>0</v>
      </c>
      <c r="AF125" s="315" t="b">
        <v>0</v>
      </c>
      <c r="AG125" s="317" t="b">
        <v>0</v>
      </c>
      <c r="AI125" s="23">
        <f t="shared" si="28"/>
        <v>30</v>
      </c>
      <c r="AJ125" s="23">
        <f t="shared" si="26"/>
        <v>0</v>
      </c>
      <c r="AK125" s="24">
        <f t="shared" si="27"/>
        <v>0</v>
      </c>
    </row>
    <row r="126" spans="3:38" ht="22.5" customHeight="1" x14ac:dyDescent="0.25">
      <c r="C126" s="299" t="s">
        <v>20</v>
      </c>
      <c r="D126" s="315" t="b">
        <v>0</v>
      </c>
      <c r="E126" s="316" t="b">
        <v>0</v>
      </c>
      <c r="F126" s="316" t="b">
        <v>0</v>
      </c>
      <c r="G126" s="316" t="b">
        <v>0</v>
      </c>
      <c r="H126" s="316" t="b">
        <v>0</v>
      </c>
      <c r="I126" s="316" t="b">
        <v>0</v>
      </c>
      <c r="J126" s="317" t="b">
        <v>0</v>
      </c>
      <c r="K126" s="305" t="b">
        <v>0</v>
      </c>
      <c r="L126" s="306" t="b">
        <v>0</v>
      </c>
      <c r="M126" s="306" t="b">
        <v>0</v>
      </c>
      <c r="N126" s="306" t="b">
        <v>0</v>
      </c>
      <c r="O126" s="306" t="b">
        <v>0</v>
      </c>
      <c r="P126" s="306" t="b">
        <v>0</v>
      </c>
      <c r="Q126" s="307" t="b">
        <v>0</v>
      </c>
      <c r="R126" s="315" t="b">
        <v>0</v>
      </c>
      <c r="S126" s="316" t="b">
        <v>0</v>
      </c>
      <c r="T126" s="316" t="b">
        <v>0</v>
      </c>
      <c r="U126" s="316" t="b">
        <v>0</v>
      </c>
      <c r="V126" s="316" t="b">
        <v>0</v>
      </c>
      <c r="W126" s="316" t="b">
        <v>0</v>
      </c>
      <c r="X126" s="317" t="b">
        <v>0</v>
      </c>
      <c r="Y126" s="305" t="b">
        <v>0</v>
      </c>
      <c r="Z126" s="306" t="b">
        <v>0</v>
      </c>
      <c r="AA126" s="306" t="b">
        <v>0</v>
      </c>
      <c r="AB126" s="306" t="b">
        <v>0</v>
      </c>
      <c r="AC126" s="306" t="b">
        <v>0</v>
      </c>
      <c r="AD126" s="306" t="b">
        <v>0</v>
      </c>
      <c r="AE126" s="307" t="b">
        <v>0</v>
      </c>
      <c r="AF126" s="315" t="b">
        <v>0</v>
      </c>
      <c r="AG126" s="317" t="b">
        <v>0</v>
      </c>
      <c r="AI126" s="23">
        <f t="shared" si="28"/>
        <v>30</v>
      </c>
      <c r="AJ126" s="23">
        <f t="shared" si="26"/>
        <v>0</v>
      </c>
      <c r="AK126" s="24">
        <f t="shared" si="27"/>
        <v>0</v>
      </c>
    </row>
    <row r="127" spans="3:38" ht="22.5" customHeight="1" x14ac:dyDescent="0.25">
      <c r="C127" s="300" t="s">
        <v>18</v>
      </c>
      <c r="D127" s="318" t="b">
        <v>0</v>
      </c>
      <c r="E127" s="319" t="b">
        <v>0</v>
      </c>
      <c r="F127" s="319" t="b">
        <v>0</v>
      </c>
      <c r="G127" s="319" t="b">
        <v>0</v>
      </c>
      <c r="H127" s="319" t="b">
        <v>0</v>
      </c>
      <c r="I127" s="319" t="b">
        <v>0</v>
      </c>
      <c r="J127" s="320" t="b">
        <v>0</v>
      </c>
      <c r="K127" s="308" t="b">
        <v>0</v>
      </c>
      <c r="L127" s="309" t="b">
        <v>0</v>
      </c>
      <c r="M127" s="309" t="b">
        <v>0</v>
      </c>
      <c r="N127" s="309" t="b">
        <v>0</v>
      </c>
      <c r="O127" s="309" t="b">
        <v>0</v>
      </c>
      <c r="P127" s="309" t="b">
        <v>0</v>
      </c>
      <c r="Q127" s="310" t="b">
        <v>0</v>
      </c>
      <c r="R127" s="318" t="b">
        <v>0</v>
      </c>
      <c r="S127" s="319" t="b">
        <v>0</v>
      </c>
      <c r="T127" s="319" t="b">
        <v>0</v>
      </c>
      <c r="U127" s="319" t="b">
        <v>0</v>
      </c>
      <c r="V127" s="319" t="b">
        <v>0</v>
      </c>
      <c r="W127" s="319" t="b">
        <v>0</v>
      </c>
      <c r="X127" s="320" t="b">
        <v>0</v>
      </c>
      <c r="Y127" s="308" t="b">
        <v>0</v>
      </c>
      <c r="Z127" s="309" t="b">
        <v>0</v>
      </c>
      <c r="AA127" s="309" t="b">
        <v>0</v>
      </c>
      <c r="AB127" s="309" t="b">
        <v>0</v>
      </c>
      <c r="AC127" s="309" t="b">
        <v>0</v>
      </c>
      <c r="AD127" s="309" t="b">
        <v>0</v>
      </c>
      <c r="AE127" s="310" t="b">
        <v>0</v>
      </c>
      <c r="AF127" s="318" t="b">
        <v>0</v>
      </c>
      <c r="AG127" s="320" t="b">
        <v>0</v>
      </c>
      <c r="AI127" s="23">
        <f t="shared" si="28"/>
        <v>30</v>
      </c>
      <c r="AJ127" s="23">
        <f t="shared" si="26"/>
        <v>0</v>
      </c>
      <c r="AK127" s="24">
        <f t="shared" si="27"/>
        <v>0</v>
      </c>
    </row>
    <row r="129" spans="3:38" ht="22.5" customHeight="1" x14ac:dyDescent="0.25">
      <c r="C129" s="322"/>
      <c r="D129" s="359" t="s">
        <v>51</v>
      </c>
      <c r="E129" s="359"/>
      <c r="F129" s="359"/>
      <c r="G129" s="359"/>
      <c r="H129" s="359"/>
      <c r="I129" s="359"/>
      <c r="J129" s="359"/>
      <c r="K129" s="323"/>
      <c r="L129" s="323"/>
      <c r="M129" s="323"/>
      <c r="N129" s="324" t="s">
        <v>21</v>
      </c>
      <c r="O129" s="323"/>
      <c r="P129" s="323"/>
      <c r="Q129" s="323"/>
      <c r="R129" s="323"/>
      <c r="S129" s="324" t="s">
        <v>23</v>
      </c>
      <c r="T129" s="323"/>
      <c r="U129" s="325"/>
      <c r="V129" s="323"/>
      <c r="W129" s="323"/>
      <c r="X129" s="324" t="s">
        <v>27</v>
      </c>
      <c r="Y129" s="323"/>
      <c r="Z129" s="323"/>
      <c r="AA129" s="323"/>
      <c r="AB129" s="324" t="s">
        <v>28</v>
      </c>
      <c r="AC129" s="323"/>
      <c r="AD129" s="323"/>
      <c r="AE129" s="323"/>
      <c r="AF129" s="323"/>
      <c r="AG129" s="323"/>
      <c r="AH129" s="326"/>
    </row>
    <row r="130" spans="3:38" ht="22.5" customHeight="1" x14ac:dyDescent="0.25">
      <c r="C130" s="327"/>
      <c r="D130" s="360"/>
      <c r="E130" s="360"/>
      <c r="F130" s="360"/>
      <c r="G130" s="360"/>
      <c r="H130" s="360"/>
      <c r="I130" s="360"/>
      <c r="J130" s="360"/>
      <c r="K130" s="328"/>
      <c r="L130" s="328"/>
      <c r="M130" s="328"/>
      <c r="N130" s="329">
        <f>COUNTA(C135:C141)</f>
        <v>7</v>
      </c>
      <c r="O130" s="328"/>
      <c r="P130" s="328"/>
      <c r="Q130" s="328"/>
      <c r="R130" s="328"/>
      <c r="S130" s="329">
        <f>COUNTIF(D135:AG141,TRUE)</f>
        <v>0</v>
      </c>
      <c r="T130" s="328"/>
      <c r="U130" s="330"/>
      <c r="V130" s="328"/>
      <c r="W130" s="361">
        <f>COUNTIF(D135:AH141, TRUE)/(COUNTA(D134:AH134)*COUNTA(C135:C141))</f>
        <v>0</v>
      </c>
      <c r="X130" s="361"/>
      <c r="Y130" s="361"/>
      <c r="Z130" s="328"/>
      <c r="AA130" s="328"/>
      <c r="AB130" s="331">
        <f>COUNTIF(D135:AH141, TRUE)/(COUNTA(D134:AH134)*COUNTA(C135:C141))</f>
        <v>0</v>
      </c>
      <c r="AC130" s="328"/>
      <c r="AD130" s="328"/>
      <c r="AE130" s="328"/>
      <c r="AF130" s="328"/>
      <c r="AG130" s="328"/>
      <c r="AH130" s="332"/>
    </row>
    <row r="132" spans="3:38" ht="22.5" customHeight="1" x14ac:dyDescent="0.25">
      <c r="C132" s="362" t="s">
        <v>1</v>
      </c>
      <c r="D132" s="357" t="s">
        <v>9</v>
      </c>
      <c r="E132" s="357"/>
      <c r="F132" s="357"/>
      <c r="G132" s="357"/>
      <c r="H132" s="357"/>
      <c r="I132" s="357"/>
      <c r="J132" s="357"/>
      <c r="K132" s="363" t="s">
        <v>10</v>
      </c>
      <c r="L132" s="363"/>
      <c r="M132" s="363"/>
      <c r="N132" s="363"/>
      <c r="O132" s="363"/>
      <c r="P132" s="363"/>
      <c r="Q132" s="363"/>
      <c r="R132" s="357" t="s">
        <v>11</v>
      </c>
      <c r="S132" s="357"/>
      <c r="T132" s="357"/>
      <c r="U132" s="357"/>
      <c r="V132" s="357"/>
      <c r="W132" s="357"/>
      <c r="X132" s="357"/>
      <c r="Y132" s="363" t="s">
        <v>12</v>
      </c>
      <c r="Z132" s="363"/>
      <c r="AA132" s="363"/>
      <c r="AB132" s="363"/>
      <c r="AC132" s="363"/>
      <c r="AD132" s="363"/>
      <c r="AE132" s="363"/>
      <c r="AF132" s="357" t="s">
        <v>13</v>
      </c>
      <c r="AG132" s="357"/>
      <c r="AH132" s="357"/>
      <c r="AJ132" s="358" t="s">
        <v>24</v>
      </c>
      <c r="AK132" s="358"/>
      <c r="AL132" s="358"/>
    </row>
    <row r="133" spans="3:38" ht="22.5" customHeight="1" x14ac:dyDescent="0.25">
      <c r="C133" s="362"/>
      <c r="D133" s="333" t="s">
        <v>7</v>
      </c>
      <c r="E133" s="333" t="s">
        <v>8</v>
      </c>
      <c r="F133" s="333" t="s">
        <v>2</v>
      </c>
      <c r="G133" s="333" t="s">
        <v>3</v>
      </c>
      <c r="H133" s="333" t="s">
        <v>4</v>
      </c>
      <c r="I133" s="333" t="s">
        <v>5</v>
      </c>
      <c r="J133" s="333" t="s">
        <v>44</v>
      </c>
      <c r="K133" s="346" t="s">
        <v>7</v>
      </c>
      <c r="L133" s="346" t="s">
        <v>8</v>
      </c>
      <c r="M133" s="346" t="s">
        <v>2</v>
      </c>
      <c r="N133" s="346" t="s">
        <v>3</v>
      </c>
      <c r="O133" s="346" t="s">
        <v>4</v>
      </c>
      <c r="P133" s="346" t="s">
        <v>5</v>
      </c>
      <c r="Q133" s="346" t="s">
        <v>44</v>
      </c>
      <c r="R133" s="333" t="s">
        <v>7</v>
      </c>
      <c r="S133" s="333" t="s">
        <v>8</v>
      </c>
      <c r="T133" s="333" t="s">
        <v>2</v>
      </c>
      <c r="U133" s="333" t="s">
        <v>3</v>
      </c>
      <c r="V133" s="333" t="s">
        <v>4</v>
      </c>
      <c r="W133" s="333" t="s">
        <v>5</v>
      </c>
      <c r="X133" s="333" t="s">
        <v>44</v>
      </c>
      <c r="Y133" s="346" t="s">
        <v>7</v>
      </c>
      <c r="Z133" s="346" t="s">
        <v>8</v>
      </c>
      <c r="AA133" s="346" t="s">
        <v>2</v>
      </c>
      <c r="AB133" s="346" t="s">
        <v>3</v>
      </c>
      <c r="AC133" s="346" t="s">
        <v>4</v>
      </c>
      <c r="AD133" s="346" t="s">
        <v>5</v>
      </c>
      <c r="AE133" s="346" t="s">
        <v>44</v>
      </c>
      <c r="AF133" s="333" t="s">
        <v>7</v>
      </c>
      <c r="AG133" s="333" t="s">
        <v>8</v>
      </c>
      <c r="AH133" s="333" t="s">
        <v>2</v>
      </c>
      <c r="AJ133" s="358"/>
      <c r="AK133" s="358"/>
      <c r="AL133" s="358"/>
    </row>
    <row r="134" spans="3:38" ht="22.5" customHeight="1" x14ac:dyDescent="0.25">
      <c r="C134" s="362"/>
      <c r="D134" s="333">
        <v>1</v>
      </c>
      <c r="E134" s="333">
        <v>2</v>
      </c>
      <c r="F134" s="333">
        <v>3</v>
      </c>
      <c r="G134" s="333">
        <v>4</v>
      </c>
      <c r="H134" s="333">
        <v>5</v>
      </c>
      <c r="I134" s="333">
        <v>6</v>
      </c>
      <c r="J134" s="333">
        <v>7</v>
      </c>
      <c r="K134" s="346">
        <v>8</v>
      </c>
      <c r="L134" s="346">
        <v>9</v>
      </c>
      <c r="M134" s="346">
        <v>10</v>
      </c>
      <c r="N134" s="346">
        <v>11</v>
      </c>
      <c r="O134" s="346">
        <v>12</v>
      </c>
      <c r="P134" s="346">
        <v>13</v>
      </c>
      <c r="Q134" s="346">
        <v>14</v>
      </c>
      <c r="R134" s="333">
        <v>15</v>
      </c>
      <c r="S134" s="333">
        <v>16</v>
      </c>
      <c r="T134" s="333">
        <v>17</v>
      </c>
      <c r="U134" s="333">
        <v>18</v>
      </c>
      <c r="V134" s="333">
        <v>19</v>
      </c>
      <c r="W134" s="333">
        <v>20</v>
      </c>
      <c r="X134" s="333">
        <v>21</v>
      </c>
      <c r="Y134" s="346">
        <v>22</v>
      </c>
      <c r="Z134" s="346">
        <v>23</v>
      </c>
      <c r="AA134" s="346">
        <v>24</v>
      </c>
      <c r="AB134" s="346">
        <v>25</v>
      </c>
      <c r="AC134" s="346">
        <v>26</v>
      </c>
      <c r="AD134" s="346">
        <v>27</v>
      </c>
      <c r="AE134" s="346">
        <v>28</v>
      </c>
      <c r="AF134" s="333">
        <v>29</v>
      </c>
      <c r="AG134" s="333">
        <v>30</v>
      </c>
      <c r="AH134" s="333">
        <v>31</v>
      </c>
      <c r="AJ134" s="356" t="s">
        <v>25</v>
      </c>
      <c r="AK134" s="356" t="s">
        <v>26</v>
      </c>
      <c r="AL134" s="356" t="s">
        <v>27</v>
      </c>
    </row>
    <row r="135" spans="3:38" ht="22.5" customHeight="1" x14ac:dyDescent="0.25">
      <c r="C135" s="343" t="s">
        <v>14</v>
      </c>
      <c r="D135" s="334" t="b">
        <v>0</v>
      </c>
      <c r="E135" s="335" t="b">
        <v>0</v>
      </c>
      <c r="F135" s="335" t="b">
        <v>0</v>
      </c>
      <c r="G135" s="335" t="b">
        <v>0</v>
      </c>
      <c r="H135" s="335" t="b">
        <v>0</v>
      </c>
      <c r="I135" s="335" t="b">
        <v>0</v>
      </c>
      <c r="J135" s="336" t="b">
        <v>0</v>
      </c>
      <c r="K135" s="347" t="b">
        <v>0</v>
      </c>
      <c r="L135" s="348" t="b">
        <v>0</v>
      </c>
      <c r="M135" s="348" t="b">
        <v>0</v>
      </c>
      <c r="N135" s="348" t="b">
        <v>0</v>
      </c>
      <c r="O135" s="348" t="b">
        <v>0</v>
      </c>
      <c r="P135" s="348" t="b">
        <v>0</v>
      </c>
      <c r="Q135" s="349" t="b">
        <v>0</v>
      </c>
      <c r="R135" s="334" t="b">
        <v>0</v>
      </c>
      <c r="S135" s="335" t="b">
        <v>0</v>
      </c>
      <c r="T135" s="335" t="b">
        <v>0</v>
      </c>
      <c r="U135" s="335" t="b">
        <v>0</v>
      </c>
      <c r="V135" s="335" t="b">
        <v>0</v>
      </c>
      <c r="W135" s="335" t="b">
        <v>0</v>
      </c>
      <c r="X135" s="336" t="b">
        <v>0</v>
      </c>
      <c r="Y135" s="347" t="b">
        <v>0</v>
      </c>
      <c r="Z135" s="348" t="b">
        <v>0</v>
      </c>
      <c r="AA135" s="348" t="b">
        <v>0</v>
      </c>
      <c r="AB135" s="348" t="b">
        <v>0</v>
      </c>
      <c r="AC135" s="348" t="b">
        <v>0</v>
      </c>
      <c r="AD135" s="348" t="b">
        <v>0</v>
      </c>
      <c r="AE135" s="349" t="b">
        <v>0</v>
      </c>
      <c r="AF135" s="334" t="b">
        <v>0</v>
      </c>
      <c r="AG135" s="335" t="b">
        <v>0</v>
      </c>
      <c r="AH135" s="335" t="b">
        <v>0</v>
      </c>
      <c r="AJ135" s="23">
        <f>COUNTA(D135:AH135)</f>
        <v>31</v>
      </c>
      <c r="AK135" s="23">
        <f t="shared" ref="AK135:AK141" si="29">COUNTIF(D135:AG135, TRUE)</f>
        <v>0</v>
      </c>
      <c r="AL135" s="24">
        <f>AK135/AJ135</f>
        <v>0</v>
      </c>
    </row>
    <row r="136" spans="3:38" ht="22.5" customHeight="1" x14ac:dyDescent="0.25">
      <c r="C136" s="344" t="s">
        <v>15</v>
      </c>
      <c r="D136" s="337" t="b">
        <v>0</v>
      </c>
      <c r="E136" s="338" t="b">
        <v>0</v>
      </c>
      <c r="F136" s="338" t="b">
        <v>0</v>
      </c>
      <c r="G136" s="338" t="b">
        <v>0</v>
      </c>
      <c r="H136" s="338" t="b">
        <v>0</v>
      </c>
      <c r="I136" s="338" t="b">
        <v>0</v>
      </c>
      <c r="J136" s="339" t="b">
        <v>0</v>
      </c>
      <c r="K136" s="350" t="b">
        <v>0</v>
      </c>
      <c r="L136" s="351" t="b">
        <v>0</v>
      </c>
      <c r="M136" s="351" t="b">
        <v>0</v>
      </c>
      <c r="N136" s="351" t="b">
        <v>0</v>
      </c>
      <c r="O136" s="351" t="b">
        <v>0</v>
      </c>
      <c r="P136" s="351" t="b">
        <v>0</v>
      </c>
      <c r="Q136" s="352" t="b">
        <v>0</v>
      </c>
      <c r="R136" s="337" t="b">
        <v>0</v>
      </c>
      <c r="S136" s="338" t="b">
        <v>0</v>
      </c>
      <c r="T136" s="338" t="b">
        <v>0</v>
      </c>
      <c r="U136" s="338" t="b">
        <v>0</v>
      </c>
      <c r="V136" s="338" t="b">
        <v>0</v>
      </c>
      <c r="W136" s="338" t="b">
        <v>0</v>
      </c>
      <c r="X136" s="339" t="b">
        <v>0</v>
      </c>
      <c r="Y136" s="350" t="b">
        <v>0</v>
      </c>
      <c r="Z136" s="351" t="b">
        <v>0</v>
      </c>
      <c r="AA136" s="351" t="b">
        <v>0</v>
      </c>
      <c r="AB136" s="351" t="b">
        <v>0</v>
      </c>
      <c r="AC136" s="351" t="b">
        <v>0</v>
      </c>
      <c r="AD136" s="351" t="b">
        <v>0</v>
      </c>
      <c r="AE136" s="352" t="b">
        <v>0</v>
      </c>
      <c r="AF136" s="337" t="b">
        <v>0</v>
      </c>
      <c r="AG136" s="338" t="b">
        <v>0</v>
      </c>
      <c r="AH136" s="338" t="b">
        <v>0</v>
      </c>
      <c r="AJ136" s="23">
        <f t="shared" ref="AJ136:AJ141" si="30">COUNTA(D136:AH136)</f>
        <v>31</v>
      </c>
      <c r="AK136" s="23">
        <f t="shared" si="29"/>
        <v>0</v>
      </c>
      <c r="AL136" s="24">
        <f t="shared" ref="AL136:AL141" si="31">AK136/AJ136</f>
        <v>0</v>
      </c>
    </row>
    <row r="137" spans="3:38" ht="22.5" customHeight="1" x14ac:dyDescent="0.25">
      <c r="C137" s="344" t="s">
        <v>16</v>
      </c>
      <c r="D137" s="337" t="b">
        <v>0</v>
      </c>
      <c r="E137" s="338" t="b">
        <v>0</v>
      </c>
      <c r="F137" s="338" t="b">
        <v>0</v>
      </c>
      <c r="G137" s="338" t="b">
        <v>0</v>
      </c>
      <c r="H137" s="338" t="b">
        <v>0</v>
      </c>
      <c r="I137" s="338" t="b">
        <v>0</v>
      </c>
      <c r="J137" s="339" t="b">
        <v>0</v>
      </c>
      <c r="K137" s="350" t="b">
        <v>0</v>
      </c>
      <c r="L137" s="351" t="b">
        <v>0</v>
      </c>
      <c r="M137" s="351" t="b">
        <v>0</v>
      </c>
      <c r="N137" s="351" t="b">
        <v>0</v>
      </c>
      <c r="O137" s="351" t="b">
        <v>0</v>
      </c>
      <c r="P137" s="351" t="b">
        <v>0</v>
      </c>
      <c r="Q137" s="352" t="b">
        <v>0</v>
      </c>
      <c r="R137" s="337" t="b">
        <v>0</v>
      </c>
      <c r="S137" s="338" t="b">
        <v>0</v>
      </c>
      <c r="T137" s="338" t="b">
        <v>0</v>
      </c>
      <c r="U137" s="338" t="b">
        <v>0</v>
      </c>
      <c r="V137" s="338" t="b">
        <v>0</v>
      </c>
      <c r="W137" s="338" t="b">
        <v>0</v>
      </c>
      <c r="X137" s="339" t="b">
        <v>0</v>
      </c>
      <c r="Y137" s="350" t="b">
        <v>0</v>
      </c>
      <c r="Z137" s="351" t="b">
        <v>0</v>
      </c>
      <c r="AA137" s="351" t="b">
        <v>0</v>
      </c>
      <c r="AB137" s="351" t="b">
        <v>0</v>
      </c>
      <c r="AC137" s="351" t="b">
        <v>0</v>
      </c>
      <c r="AD137" s="351" t="b">
        <v>0</v>
      </c>
      <c r="AE137" s="352" t="b">
        <v>0</v>
      </c>
      <c r="AF137" s="337" t="b">
        <v>0</v>
      </c>
      <c r="AG137" s="338" t="b">
        <v>0</v>
      </c>
      <c r="AH137" s="338" t="b">
        <v>0</v>
      </c>
      <c r="AJ137" s="23">
        <f t="shared" si="30"/>
        <v>31</v>
      </c>
      <c r="AK137" s="23">
        <f t="shared" si="29"/>
        <v>0</v>
      </c>
      <c r="AL137" s="24">
        <f t="shared" si="31"/>
        <v>0</v>
      </c>
    </row>
    <row r="138" spans="3:38" ht="22.5" customHeight="1" x14ac:dyDescent="0.25">
      <c r="C138" s="344" t="s">
        <v>17</v>
      </c>
      <c r="D138" s="337" t="b">
        <v>0</v>
      </c>
      <c r="E138" s="338" t="b">
        <v>0</v>
      </c>
      <c r="F138" s="338" t="b">
        <v>0</v>
      </c>
      <c r="G138" s="338" t="b">
        <v>0</v>
      </c>
      <c r="H138" s="338" t="b">
        <v>0</v>
      </c>
      <c r="I138" s="338" t="b">
        <v>0</v>
      </c>
      <c r="J138" s="339" t="b">
        <v>0</v>
      </c>
      <c r="K138" s="350" t="b">
        <v>0</v>
      </c>
      <c r="L138" s="351" t="b">
        <v>0</v>
      </c>
      <c r="M138" s="351" t="b">
        <v>0</v>
      </c>
      <c r="N138" s="351" t="b">
        <v>0</v>
      </c>
      <c r="O138" s="351" t="b">
        <v>0</v>
      </c>
      <c r="P138" s="351" t="b">
        <v>0</v>
      </c>
      <c r="Q138" s="352" t="b">
        <v>0</v>
      </c>
      <c r="R138" s="337" t="b">
        <v>0</v>
      </c>
      <c r="S138" s="338" t="b">
        <v>0</v>
      </c>
      <c r="T138" s="338" t="b">
        <v>0</v>
      </c>
      <c r="U138" s="338" t="b">
        <v>0</v>
      </c>
      <c r="V138" s="338" t="b">
        <v>0</v>
      </c>
      <c r="W138" s="338" t="b">
        <v>0</v>
      </c>
      <c r="X138" s="339" t="b">
        <v>0</v>
      </c>
      <c r="Y138" s="350" t="b">
        <v>0</v>
      </c>
      <c r="Z138" s="351" t="b">
        <v>0</v>
      </c>
      <c r="AA138" s="351" t="b">
        <v>0</v>
      </c>
      <c r="AB138" s="351" t="b">
        <v>0</v>
      </c>
      <c r="AC138" s="351" t="b">
        <v>0</v>
      </c>
      <c r="AD138" s="351" t="b">
        <v>0</v>
      </c>
      <c r="AE138" s="352" t="b">
        <v>0</v>
      </c>
      <c r="AF138" s="337" t="b">
        <v>0</v>
      </c>
      <c r="AG138" s="338" t="b">
        <v>0</v>
      </c>
      <c r="AH138" s="338" t="b">
        <v>0</v>
      </c>
      <c r="AJ138" s="23">
        <f t="shared" si="30"/>
        <v>31</v>
      </c>
      <c r="AK138" s="23">
        <f t="shared" si="29"/>
        <v>0</v>
      </c>
      <c r="AL138" s="24">
        <f t="shared" si="31"/>
        <v>0</v>
      </c>
    </row>
    <row r="139" spans="3:38" ht="22.5" customHeight="1" x14ac:dyDescent="0.25">
      <c r="C139" s="344" t="s">
        <v>19</v>
      </c>
      <c r="D139" s="337" t="b">
        <v>0</v>
      </c>
      <c r="E139" s="338" t="b">
        <v>0</v>
      </c>
      <c r="F139" s="338" t="b">
        <v>0</v>
      </c>
      <c r="G139" s="338" t="b">
        <v>0</v>
      </c>
      <c r="H139" s="338" t="b">
        <v>0</v>
      </c>
      <c r="I139" s="338" t="b">
        <v>0</v>
      </c>
      <c r="J139" s="339" t="b">
        <v>0</v>
      </c>
      <c r="K139" s="350" t="b">
        <v>0</v>
      </c>
      <c r="L139" s="351" t="b">
        <v>0</v>
      </c>
      <c r="M139" s="351" t="b">
        <v>0</v>
      </c>
      <c r="N139" s="351" t="b">
        <v>0</v>
      </c>
      <c r="O139" s="351" t="b">
        <v>0</v>
      </c>
      <c r="P139" s="351" t="b">
        <v>0</v>
      </c>
      <c r="Q139" s="352" t="b">
        <v>0</v>
      </c>
      <c r="R139" s="337" t="b">
        <v>0</v>
      </c>
      <c r="S139" s="338" t="b">
        <v>0</v>
      </c>
      <c r="T139" s="338" t="b">
        <v>0</v>
      </c>
      <c r="U139" s="338" t="b">
        <v>0</v>
      </c>
      <c r="V139" s="338" t="b">
        <v>0</v>
      </c>
      <c r="W139" s="338" t="b">
        <v>0</v>
      </c>
      <c r="X139" s="339" t="b">
        <v>0</v>
      </c>
      <c r="Y139" s="350" t="b">
        <v>0</v>
      </c>
      <c r="Z139" s="351" t="b">
        <v>0</v>
      </c>
      <c r="AA139" s="351" t="b">
        <v>0</v>
      </c>
      <c r="AB139" s="351" t="b">
        <v>0</v>
      </c>
      <c r="AC139" s="351" t="b">
        <v>0</v>
      </c>
      <c r="AD139" s="351" t="b">
        <v>0</v>
      </c>
      <c r="AE139" s="352" t="b">
        <v>0</v>
      </c>
      <c r="AF139" s="337" t="b">
        <v>0</v>
      </c>
      <c r="AG139" s="338" t="b">
        <v>0</v>
      </c>
      <c r="AH139" s="338" t="b">
        <v>0</v>
      </c>
      <c r="AJ139" s="23">
        <f t="shared" si="30"/>
        <v>31</v>
      </c>
      <c r="AK139" s="23">
        <f t="shared" si="29"/>
        <v>0</v>
      </c>
      <c r="AL139" s="24">
        <f t="shared" si="31"/>
        <v>0</v>
      </c>
    </row>
    <row r="140" spans="3:38" ht="22.5" customHeight="1" x14ac:dyDescent="0.25">
      <c r="C140" s="344" t="s">
        <v>20</v>
      </c>
      <c r="D140" s="337" t="b">
        <v>0</v>
      </c>
      <c r="E140" s="338" t="b">
        <v>0</v>
      </c>
      <c r="F140" s="338" t="b">
        <v>0</v>
      </c>
      <c r="G140" s="338" t="b">
        <v>0</v>
      </c>
      <c r="H140" s="338" t="b">
        <v>0</v>
      </c>
      <c r="I140" s="338" t="b">
        <v>0</v>
      </c>
      <c r="J140" s="339" t="b">
        <v>0</v>
      </c>
      <c r="K140" s="350" t="b">
        <v>0</v>
      </c>
      <c r="L140" s="351" t="b">
        <v>0</v>
      </c>
      <c r="M140" s="351" t="b">
        <v>0</v>
      </c>
      <c r="N140" s="351" t="b">
        <v>0</v>
      </c>
      <c r="O140" s="351" t="b">
        <v>0</v>
      </c>
      <c r="P140" s="351" t="b">
        <v>0</v>
      </c>
      <c r="Q140" s="352" t="b">
        <v>0</v>
      </c>
      <c r="R140" s="337" t="b">
        <v>0</v>
      </c>
      <c r="S140" s="338" t="b">
        <v>0</v>
      </c>
      <c r="T140" s="338" t="b">
        <v>0</v>
      </c>
      <c r="U140" s="338" t="b">
        <v>0</v>
      </c>
      <c r="V140" s="338" t="b">
        <v>0</v>
      </c>
      <c r="W140" s="338" t="b">
        <v>0</v>
      </c>
      <c r="X140" s="339" t="b">
        <v>0</v>
      </c>
      <c r="Y140" s="350" t="b">
        <v>0</v>
      </c>
      <c r="Z140" s="351" t="b">
        <v>0</v>
      </c>
      <c r="AA140" s="351" t="b">
        <v>0</v>
      </c>
      <c r="AB140" s="351" t="b">
        <v>0</v>
      </c>
      <c r="AC140" s="351" t="b">
        <v>0</v>
      </c>
      <c r="AD140" s="351" t="b">
        <v>0</v>
      </c>
      <c r="AE140" s="352" t="b">
        <v>0</v>
      </c>
      <c r="AF140" s="337" t="b">
        <v>0</v>
      </c>
      <c r="AG140" s="338" t="b">
        <v>0</v>
      </c>
      <c r="AH140" s="338" t="b">
        <v>0</v>
      </c>
      <c r="AJ140" s="23">
        <f t="shared" si="30"/>
        <v>31</v>
      </c>
      <c r="AK140" s="23">
        <f t="shared" si="29"/>
        <v>0</v>
      </c>
      <c r="AL140" s="24">
        <f t="shared" si="31"/>
        <v>0</v>
      </c>
    </row>
    <row r="141" spans="3:38" ht="22.5" customHeight="1" x14ac:dyDescent="0.25">
      <c r="C141" s="345" t="s">
        <v>18</v>
      </c>
      <c r="D141" s="340" t="b">
        <v>0</v>
      </c>
      <c r="E141" s="341" t="b">
        <v>0</v>
      </c>
      <c r="F141" s="341" t="b">
        <v>0</v>
      </c>
      <c r="G141" s="341" t="b">
        <v>0</v>
      </c>
      <c r="H141" s="341" t="b">
        <v>0</v>
      </c>
      <c r="I141" s="341" t="b">
        <v>0</v>
      </c>
      <c r="J141" s="342" t="b">
        <v>0</v>
      </c>
      <c r="K141" s="353" t="b">
        <v>0</v>
      </c>
      <c r="L141" s="354" t="b">
        <v>0</v>
      </c>
      <c r="M141" s="354" t="b">
        <v>0</v>
      </c>
      <c r="N141" s="354" t="b">
        <v>0</v>
      </c>
      <c r="O141" s="354" t="b">
        <v>0</v>
      </c>
      <c r="P141" s="354" t="b">
        <v>0</v>
      </c>
      <c r="Q141" s="355" t="b">
        <v>0</v>
      </c>
      <c r="R141" s="340" t="b">
        <v>0</v>
      </c>
      <c r="S141" s="341" t="b">
        <v>0</v>
      </c>
      <c r="T141" s="341" t="b">
        <v>0</v>
      </c>
      <c r="U141" s="341" t="b">
        <v>0</v>
      </c>
      <c r="V141" s="341" t="b">
        <v>0</v>
      </c>
      <c r="W141" s="341" t="b">
        <v>0</v>
      </c>
      <c r="X141" s="342" t="b">
        <v>0</v>
      </c>
      <c r="Y141" s="353" t="b">
        <v>0</v>
      </c>
      <c r="Z141" s="354" t="b">
        <v>0</v>
      </c>
      <c r="AA141" s="354" t="b">
        <v>0</v>
      </c>
      <c r="AB141" s="354" t="b">
        <v>0</v>
      </c>
      <c r="AC141" s="354" t="b">
        <v>0</v>
      </c>
      <c r="AD141" s="354" t="b">
        <v>0</v>
      </c>
      <c r="AE141" s="355" t="b">
        <v>0</v>
      </c>
      <c r="AF141" s="340" t="b">
        <v>0</v>
      </c>
      <c r="AG141" s="341" t="b">
        <v>0</v>
      </c>
      <c r="AH141" s="341" t="b">
        <v>0</v>
      </c>
      <c r="AJ141" s="23">
        <f t="shared" si="30"/>
        <v>31</v>
      </c>
      <c r="AK141" s="23">
        <f t="shared" si="29"/>
        <v>0</v>
      </c>
      <c r="AL141" s="24">
        <f t="shared" si="31"/>
        <v>0</v>
      </c>
    </row>
    <row r="143" spans="3:38" ht="22.5" customHeight="1" x14ac:dyDescent="0.25">
      <c r="C143" s="437"/>
      <c r="D143" s="438" t="s">
        <v>52</v>
      </c>
      <c r="E143" s="438"/>
      <c r="F143" s="438"/>
      <c r="G143" s="438"/>
      <c r="H143" s="438"/>
      <c r="I143" s="438"/>
      <c r="J143" s="438"/>
      <c r="K143" s="439"/>
      <c r="L143" s="439"/>
      <c r="M143" s="439"/>
      <c r="N143" s="440" t="s">
        <v>21</v>
      </c>
      <c r="O143" s="439"/>
      <c r="P143" s="439"/>
      <c r="Q143" s="439"/>
      <c r="R143" s="439"/>
      <c r="S143" s="440" t="s">
        <v>23</v>
      </c>
      <c r="T143" s="439"/>
      <c r="U143" s="441"/>
      <c r="V143" s="439"/>
      <c r="W143" s="439"/>
      <c r="X143" s="440" t="s">
        <v>27</v>
      </c>
      <c r="Y143" s="439"/>
      <c r="Z143" s="439"/>
      <c r="AA143" s="439"/>
      <c r="AB143" s="440" t="s">
        <v>28</v>
      </c>
      <c r="AC143" s="439"/>
      <c r="AD143" s="439"/>
      <c r="AE143" s="439"/>
      <c r="AF143" s="439"/>
      <c r="AG143" s="439"/>
    </row>
    <row r="144" spans="3:38" ht="22.5" customHeight="1" x14ac:dyDescent="0.25">
      <c r="C144" s="442"/>
      <c r="D144" s="443"/>
      <c r="E144" s="443"/>
      <c r="F144" s="443"/>
      <c r="G144" s="443"/>
      <c r="H144" s="443"/>
      <c r="I144" s="443"/>
      <c r="J144" s="443"/>
      <c r="K144" s="444"/>
      <c r="L144" s="444"/>
      <c r="M144" s="444"/>
      <c r="N144" s="445">
        <f>COUNTA(C149:C155)</f>
        <v>7</v>
      </c>
      <c r="O144" s="444"/>
      <c r="P144" s="444"/>
      <c r="Q144" s="444"/>
      <c r="R144" s="444"/>
      <c r="S144" s="445">
        <f>COUNTIF(D149:AG155,TRUE)</f>
        <v>0</v>
      </c>
      <c r="T144" s="444"/>
      <c r="U144" s="446"/>
      <c r="V144" s="444"/>
      <c r="W144" s="447">
        <f>COUNTIF(D149:AG155, TRUE)/(COUNTA(D148:AG148)*COUNTA(C149:C155))</f>
        <v>0</v>
      </c>
      <c r="X144" s="447"/>
      <c r="Y144" s="447"/>
      <c r="Z144" s="444"/>
      <c r="AA144" s="444"/>
      <c r="AB144" s="448">
        <f>COUNTIF(D149:AG155, TRUE)/(COUNTA(D148:AG148)*COUNTA(C149:C155))</f>
        <v>0</v>
      </c>
      <c r="AC144" s="444"/>
      <c r="AD144" s="444"/>
      <c r="AE144" s="444"/>
      <c r="AF144" s="444"/>
      <c r="AG144" s="444"/>
    </row>
    <row r="146" spans="3:38" ht="22.5" customHeight="1" x14ac:dyDescent="0.25">
      <c r="C146" s="449" t="s">
        <v>1</v>
      </c>
      <c r="D146" s="409" t="s">
        <v>9</v>
      </c>
      <c r="E146" s="409"/>
      <c r="F146" s="409"/>
      <c r="G146" s="409"/>
      <c r="H146" s="409"/>
      <c r="I146" s="409"/>
      <c r="J146" s="409"/>
      <c r="K146" s="453" t="s">
        <v>10</v>
      </c>
      <c r="L146" s="453"/>
      <c r="M146" s="453"/>
      <c r="N146" s="453"/>
      <c r="O146" s="453"/>
      <c r="P146" s="453"/>
      <c r="Q146" s="453"/>
      <c r="R146" s="409" t="s">
        <v>11</v>
      </c>
      <c r="S146" s="409"/>
      <c r="T146" s="409"/>
      <c r="U146" s="409"/>
      <c r="V146" s="409"/>
      <c r="W146" s="409"/>
      <c r="X146" s="409"/>
      <c r="Y146" s="453" t="s">
        <v>12</v>
      </c>
      <c r="Z146" s="453"/>
      <c r="AA146" s="453"/>
      <c r="AB146" s="453"/>
      <c r="AC146" s="453"/>
      <c r="AD146" s="453"/>
      <c r="AE146" s="453"/>
      <c r="AF146" s="409" t="s">
        <v>13</v>
      </c>
      <c r="AG146" s="409"/>
      <c r="AI146" s="464" t="s">
        <v>24</v>
      </c>
      <c r="AJ146" s="464"/>
      <c r="AK146" s="464"/>
    </row>
    <row r="147" spans="3:38" ht="22.5" customHeight="1" x14ac:dyDescent="0.25">
      <c r="C147" s="449"/>
      <c r="D147" s="140" t="s">
        <v>3</v>
      </c>
      <c r="E147" s="140" t="s">
        <v>4</v>
      </c>
      <c r="F147" s="140" t="s">
        <v>5</v>
      </c>
      <c r="G147" s="140" t="s">
        <v>44</v>
      </c>
      <c r="H147" s="140" t="s">
        <v>7</v>
      </c>
      <c r="I147" s="140" t="s">
        <v>8</v>
      </c>
      <c r="J147" s="140" t="s">
        <v>2</v>
      </c>
      <c r="K147" s="454" t="s">
        <v>3</v>
      </c>
      <c r="L147" s="454" t="s">
        <v>4</v>
      </c>
      <c r="M147" s="454" t="s">
        <v>5</v>
      </c>
      <c r="N147" s="454" t="s">
        <v>44</v>
      </c>
      <c r="O147" s="454" t="s">
        <v>7</v>
      </c>
      <c r="P147" s="454" t="s">
        <v>8</v>
      </c>
      <c r="Q147" s="454" t="s">
        <v>2</v>
      </c>
      <c r="R147" s="140" t="s">
        <v>3</v>
      </c>
      <c r="S147" s="140" t="s">
        <v>4</v>
      </c>
      <c r="T147" s="140" t="s">
        <v>5</v>
      </c>
      <c r="U147" s="140" t="s">
        <v>44</v>
      </c>
      <c r="V147" s="140" t="s">
        <v>7</v>
      </c>
      <c r="W147" s="140" t="s">
        <v>8</v>
      </c>
      <c r="X147" s="140" t="s">
        <v>2</v>
      </c>
      <c r="Y147" s="454" t="s">
        <v>3</v>
      </c>
      <c r="Z147" s="454" t="s">
        <v>4</v>
      </c>
      <c r="AA147" s="454" t="s">
        <v>5</v>
      </c>
      <c r="AB147" s="454" t="s">
        <v>44</v>
      </c>
      <c r="AC147" s="454" t="s">
        <v>7</v>
      </c>
      <c r="AD147" s="454" t="s">
        <v>8</v>
      </c>
      <c r="AE147" s="454" t="s">
        <v>2</v>
      </c>
      <c r="AF147" s="140" t="s">
        <v>3</v>
      </c>
      <c r="AG147" s="140" t="s">
        <v>4</v>
      </c>
      <c r="AI147" s="464"/>
      <c r="AJ147" s="464"/>
      <c r="AK147" s="464"/>
    </row>
    <row r="148" spans="3:38" ht="22.5" customHeight="1" x14ac:dyDescent="0.25">
      <c r="C148" s="449"/>
      <c r="D148" s="140">
        <v>1</v>
      </c>
      <c r="E148" s="140">
        <v>2</v>
      </c>
      <c r="F148" s="140">
        <v>3</v>
      </c>
      <c r="G148" s="140">
        <v>4</v>
      </c>
      <c r="H148" s="140">
        <v>5</v>
      </c>
      <c r="I148" s="140">
        <v>6</v>
      </c>
      <c r="J148" s="140">
        <v>7</v>
      </c>
      <c r="K148" s="454">
        <v>8</v>
      </c>
      <c r="L148" s="454">
        <v>9</v>
      </c>
      <c r="M148" s="454">
        <v>10</v>
      </c>
      <c r="N148" s="454">
        <v>11</v>
      </c>
      <c r="O148" s="454">
        <v>12</v>
      </c>
      <c r="P148" s="454">
        <v>13</v>
      </c>
      <c r="Q148" s="454">
        <v>14</v>
      </c>
      <c r="R148" s="140">
        <v>15</v>
      </c>
      <c r="S148" s="140">
        <v>16</v>
      </c>
      <c r="T148" s="140">
        <v>17</v>
      </c>
      <c r="U148" s="140">
        <v>18</v>
      </c>
      <c r="V148" s="140">
        <v>19</v>
      </c>
      <c r="W148" s="140">
        <v>20</v>
      </c>
      <c r="X148" s="140">
        <v>21</v>
      </c>
      <c r="Y148" s="454">
        <v>22</v>
      </c>
      <c r="Z148" s="454">
        <v>23</v>
      </c>
      <c r="AA148" s="454">
        <v>24</v>
      </c>
      <c r="AB148" s="454">
        <v>25</v>
      </c>
      <c r="AC148" s="454">
        <v>26</v>
      </c>
      <c r="AD148" s="454">
        <v>27</v>
      </c>
      <c r="AE148" s="454">
        <v>28</v>
      </c>
      <c r="AF148" s="140">
        <v>29</v>
      </c>
      <c r="AG148" s="140">
        <v>30</v>
      </c>
      <c r="AI148" s="465" t="s">
        <v>25</v>
      </c>
      <c r="AJ148" s="465" t="s">
        <v>26</v>
      </c>
      <c r="AK148" s="465" t="s">
        <v>27</v>
      </c>
    </row>
    <row r="149" spans="3:38" ht="22.5" customHeight="1" x14ac:dyDescent="0.25">
      <c r="C149" s="450" t="s">
        <v>14</v>
      </c>
      <c r="D149" s="141" t="b">
        <v>0</v>
      </c>
      <c r="E149" s="142" t="b">
        <v>0</v>
      </c>
      <c r="F149" s="142" t="b">
        <v>0</v>
      </c>
      <c r="G149" s="142" t="b">
        <v>0</v>
      </c>
      <c r="H149" s="142" t="b">
        <v>0</v>
      </c>
      <c r="I149" s="142" t="b">
        <v>0</v>
      </c>
      <c r="J149" s="143" t="b">
        <v>0</v>
      </c>
      <c r="K149" s="455" t="b">
        <v>0</v>
      </c>
      <c r="L149" s="456" t="b">
        <v>0</v>
      </c>
      <c r="M149" s="456" t="b">
        <v>0</v>
      </c>
      <c r="N149" s="456" t="b">
        <v>0</v>
      </c>
      <c r="O149" s="456" t="b">
        <v>0</v>
      </c>
      <c r="P149" s="456" t="b">
        <v>0</v>
      </c>
      <c r="Q149" s="457" t="b">
        <v>0</v>
      </c>
      <c r="R149" s="141" t="b">
        <v>0</v>
      </c>
      <c r="S149" s="142" t="b">
        <v>0</v>
      </c>
      <c r="T149" s="142" t="b">
        <v>0</v>
      </c>
      <c r="U149" s="142" t="b">
        <v>0</v>
      </c>
      <c r="V149" s="142" t="b">
        <v>0</v>
      </c>
      <c r="W149" s="142" t="b">
        <v>0</v>
      </c>
      <c r="X149" s="143" t="b">
        <v>0</v>
      </c>
      <c r="Y149" s="455" t="b">
        <v>0</v>
      </c>
      <c r="Z149" s="456" t="b">
        <v>0</v>
      </c>
      <c r="AA149" s="456" t="b">
        <v>0</v>
      </c>
      <c r="AB149" s="456" t="b">
        <v>0</v>
      </c>
      <c r="AC149" s="456" t="b">
        <v>0</v>
      </c>
      <c r="AD149" s="456" t="b">
        <v>0</v>
      </c>
      <c r="AE149" s="457" t="b">
        <v>0</v>
      </c>
      <c r="AF149" s="141" t="b">
        <v>0</v>
      </c>
      <c r="AG149" s="143" t="b">
        <v>0</v>
      </c>
      <c r="AI149" s="23">
        <f>COUNTA(D149:AG149)</f>
        <v>30</v>
      </c>
      <c r="AJ149" s="23">
        <f t="shared" ref="AJ149:AJ155" si="32">COUNTIF(D149:AG149, TRUE)</f>
        <v>0</v>
      </c>
      <c r="AK149" s="24">
        <f>AJ149/AI149</f>
        <v>0</v>
      </c>
    </row>
    <row r="150" spans="3:38" ht="22.5" customHeight="1" x14ac:dyDescent="0.25">
      <c r="C150" s="451" t="s">
        <v>15</v>
      </c>
      <c r="D150" s="144" t="b">
        <v>0</v>
      </c>
      <c r="E150" s="145" t="b">
        <v>0</v>
      </c>
      <c r="F150" s="145" t="b">
        <v>0</v>
      </c>
      <c r="G150" s="145" t="b">
        <v>0</v>
      </c>
      <c r="H150" s="145" t="b">
        <v>0</v>
      </c>
      <c r="I150" s="145" t="b">
        <v>0</v>
      </c>
      <c r="J150" s="146" t="b">
        <v>0</v>
      </c>
      <c r="K150" s="458" t="b">
        <v>0</v>
      </c>
      <c r="L150" s="459" t="b">
        <v>0</v>
      </c>
      <c r="M150" s="459" t="b">
        <v>0</v>
      </c>
      <c r="N150" s="459" t="b">
        <v>0</v>
      </c>
      <c r="O150" s="459" t="b">
        <v>0</v>
      </c>
      <c r="P150" s="459" t="b">
        <v>0</v>
      </c>
      <c r="Q150" s="460" t="b">
        <v>0</v>
      </c>
      <c r="R150" s="144" t="b">
        <v>0</v>
      </c>
      <c r="S150" s="145" t="b">
        <v>0</v>
      </c>
      <c r="T150" s="145" t="b">
        <v>0</v>
      </c>
      <c r="U150" s="145" t="b">
        <v>0</v>
      </c>
      <c r="V150" s="145" t="b">
        <v>0</v>
      </c>
      <c r="W150" s="145" t="b">
        <v>0</v>
      </c>
      <c r="X150" s="146" t="b">
        <v>0</v>
      </c>
      <c r="Y150" s="458" t="b">
        <v>0</v>
      </c>
      <c r="Z150" s="459" t="b">
        <v>0</v>
      </c>
      <c r="AA150" s="459" t="b">
        <v>0</v>
      </c>
      <c r="AB150" s="459" t="b">
        <v>0</v>
      </c>
      <c r="AC150" s="459" t="b">
        <v>0</v>
      </c>
      <c r="AD150" s="459" t="b">
        <v>0</v>
      </c>
      <c r="AE150" s="460" t="b">
        <v>0</v>
      </c>
      <c r="AF150" s="144" t="b">
        <v>0</v>
      </c>
      <c r="AG150" s="146" t="b">
        <v>0</v>
      </c>
      <c r="AI150" s="23">
        <f>COUNTA(D150:AG150)</f>
        <v>30</v>
      </c>
      <c r="AJ150" s="23">
        <f t="shared" si="32"/>
        <v>0</v>
      </c>
      <c r="AK150" s="24">
        <f t="shared" ref="AK150:AK155" si="33">AJ150/AI150</f>
        <v>0</v>
      </c>
    </row>
    <row r="151" spans="3:38" ht="22.5" customHeight="1" x14ac:dyDescent="0.25">
      <c r="C151" s="451" t="s">
        <v>16</v>
      </c>
      <c r="D151" s="144" t="b">
        <v>0</v>
      </c>
      <c r="E151" s="145" t="b">
        <v>0</v>
      </c>
      <c r="F151" s="145" t="b">
        <v>0</v>
      </c>
      <c r="G151" s="145" t="b">
        <v>0</v>
      </c>
      <c r="H151" s="145" t="b">
        <v>0</v>
      </c>
      <c r="I151" s="145" t="b">
        <v>0</v>
      </c>
      <c r="J151" s="146" t="b">
        <v>0</v>
      </c>
      <c r="K151" s="458" t="b">
        <v>0</v>
      </c>
      <c r="L151" s="459" t="b">
        <v>0</v>
      </c>
      <c r="M151" s="459" t="b">
        <v>0</v>
      </c>
      <c r="N151" s="459" t="b">
        <v>0</v>
      </c>
      <c r="O151" s="459" t="b">
        <v>0</v>
      </c>
      <c r="P151" s="459" t="b">
        <v>0</v>
      </c>
      <c r="Q151" s="460" t="b">
        <v>0</v>
      </c>
      <c r="R151" s="144" t="b">
        <v>0</v>
      </c>
      <c r="S151" s="145" t="b">
        <v>0</v>
      </c>
      <c r="T151" s="145" t="b">
        <v>0</v>
      </c>
      <c r="U151" s="145" t="b">
        <v>0</v>
      </c>
      <c r="V151" s="145" t="b">
        <v>0</v>
      </c>
      <c r="W151" s="145" t="b">
        <v>0</v>
      </c>
      <c r="X151" s="146" t="b">
        <v>0</v>
      </c>
      <c r="Y151" s="458" t="b">
        <v>0</v>
      </c>
      <c r="Z151" s="459" t="b">
        <v>0</v>
      </c>
      <c r="AA151" s="459" t="b">
        <v>0</v>
      </c>
      <c r="AB151" s="459" t="b">
        <v>0</v>
      </c>
      <c r="AC151" s="459" t="b">
        <v>0</v>
      </c>
      <c r="AD151" s="459" t="b">
        <v>0</v>
      </c>
      <c r="AE151" s="460" t="b">
        <v>0</v>
      </c>
      <c r="AF151" s="144" t="b">
        <v>0</v>
      </c>
      <c r="AG151" s="146" t="b">
        <v>0</v>
      </c>
      <c r="AI151" s="23">
        <f t="shared" ref="AI151:AI155" si="34">COUNTA(D151:AG151)</f>
        <v>30</v>
      </c>
      <c r="AJ151" s="23">
        <f t="shared" si="32"/>
        <v>0</v>
      </c>
      <c r="AK151" s="24">
        <f t="shared" si="33"/>
        <v>0</v>
      </c>
    </row>
    <row r="152" spans="3:38" ht="22.5" customHeight="1" x14ac:dyDescent="0.25">
      <c r="C152" s="451" t="s">
        <v>17</v>
      </c>
      <c r="D152" s="144" t="b">
        <v>0</v>
      </c>
      <c r="E152" s="145" t="b">
        <v>0</v>
      </c>
      <c r="F152" s="145" t="b">
        <v>0</v>
      </c>
      <c r="G152" s="145" t="b">
        <v>0</v>
      </c>
      <c r="H152" s="145" t="b">
        <v>0</v>
      </c>
      <c r="I152" s="145" t="b">
        <v>0</v>
      </c>
      <c r="J152" s="146" t="b">
        <v>0</v>
      </c>
      <c r="K152" s="458" t="b">
        <v>0</v>
      </c>
      <c r="L152" s="459" t="b">
        <v>0</v>
      </c>
      <c r="M152" s="459" t="b">
        <v>0</v>
      </c>
      <c r="N152" s="459" t="b">
        <v>0</v>
      </c>
      <c r="O152" s="459" t="b">
        <v>0</v>
      </c>
      <c r="P152" s="459" t="b">
        <v>0</v>
      </c>
      <c r="Q152" s="460" t="b">
        <v>0</v>
      </c>
      <c r="R152" s="144" t="b">
        <v>0</v>
      </c>
      <c r="S152" s="145" t="b">
        <v>0</v>
      </c>
      <c r="T152" s="145" t="b">
        <v>0</v>
      </c>
      <c r="U152" s="145" t="b">
        <v>0</v>
      </c>
      <c r="V152" s="145" t="b">
        <v>0</v>
      </c>
      <c r="W152" s="145" t="b">
        <v>0</v>
      </c>
      <c r="X152" s="146" t="b">
        <v>0</v>
      </c>
      <c r="Y152" s="458" t="b">
        <v>0</v>
      </c>
      <c r="Z152" s="459" t="b">
        <v>0</v>
      </c>
      <c r="AA152" s="459" t="b">
        <v>0</v>
      </c>
      <c r="AB152" s="459" t="b">
        <v>0</v>
      </c>
      <c r="AC152" s="459" t="b">
        <v>0</v>
      </c>
      <c r="AD152" s="459" t="b">
        <v>0</v>
      </c>
      <c r="AE152" s="460" t="b">
        <v>0</v>
      </c>
      <c r="AF152" s="144" t="b">
        <v>0</v>
      </c>
      <c r="AG152" s="146" t="b">
        <v>0</v>
      </c>
      <c r="AI152" s="23">
        <f t="shared" si="34"/>
        <v>30</v>
      </c>
      <c r="AJ152" s="23">
        <f t="shared" si="32"/>
        <v>0</v>
      </c>
      <c r="AK152" s="24">
        <f t="shared" si="33"/>
        <v>0</v>
      </c>
    </row>
    <row r="153" spans="3:38" ht="22.5" customHeight="1" x14ac:dyDescent="0.25">
      <c r="C153" s="451" t="s">
        <v>19</v>
      </c>
      <c r="D153" s="144" t="b">
        <v>0</v>
      </c>
      <c r="E153" s="145" t="b">
        <v>0</v>
      </c>
      <c r="F153" s="145" t="b">
        <v>0</v>
      </c>
      <c r="G153" s="145" t="b">
        <v>0</v>
      </c>
      <c r="H153" s="145" t="b">
        <v>0</v>
      </c>
      <c r="I153" s="145" t="b">
        <v>0</v>
      </c>
      <c r="J153" s="146" t="b">
        <v>0</v>
      </c>
      <c r="K153" s="458" t="b">
        <v>0</v>
      </c>
      <c r="L153" s="459" t="b">
        <v>0</v>
      </c>
      <c r="M153" s="459" t="b">
        <v>0</v>
      </c>
      <c r="N153" s="459" t="b">
        <v>0</v>
      </c>
      <c r="O153" s="459" t="b">
        <v>0</v>
      </c>
      <c r="P153" s="459" t="b">
        <v>0</v>
      </c>
      <c r="Q153" s="460" t="b">
        <v>0</v>
      </c>
      <c r="R153" s="144" t="b">
        <v>0</v>
      </c>
      <c r="S153" s="145" t="b">
        <v>0</v>
      </c>
      <c r="T153" s="145" t="b">
        <v>0</v>
      </c>
      <c r="U153" s="145" t="b">
        <v>0</v>
      </c>
      <c r="V153" s="145" t="b">
        <v>0</v>
      </c>
      <c r="W153" s="145" t="b">
        <v>0</v>
      </c>
      <c r="X153" s="146" t="b">
        <v>0</v>
      </c>
      <c r="Y153" s="458" t="b">
        <v>0</v>
      </c>
      <c r="Z153" s="459" t="b">
        <v>0</v>
      </c>
      <c r="AA153" s="459" t="b">
        <v>0</v>
      </c>
      <c r="AB153" s="459" t="b">
        <v>0</v>
      </c>
      <c r="AC153" s="459" t="b">
        <v>0</v>
      </c>
      <c r="AD153" s="459" t="b">
        <v>0</v>
      </c>
      <c r="AE153" s="460" t="b">
        <v>0</v>
      </c>
      <c r="AF153" s="144" t="b">
        <v>0</v>
      </c>
      <c r="AG153" s="146" t="b">
        <v>0</v>
      </c>
      <c r="AI153" s="23">
        <f t="shared" si="34"/>
        <v>30</v>
      </c>
      <c r="AJ153" s="23">
        <f t="shared" si="32"/>
        <v>0</v>
      </c>
      <c r="AK153" s="24">
        <f t="shared" si="33"/>
        <v>0</v>
      </c>
    </row>
    <row r="154" spans="3:38" ht="22.5" customHeight="1" x14ac:dyDescent="0.25">
      <c r="C154" s="451" t="s">
        <v>20</v>
      </c>
      <c r="D154" s="144" t="b">
        <v>0</v>
      </c>
      <c r="E154" s="145" t="b">
        <v>0</v>
      </c>
      <c r="F154" s="145" t="b">
        <v>0</v>
      </c>
      <c r="G154" s="145" t="b">
        <v>0</v>
      </c>
      <c r="H154" s="145" t="b">
        <v>0</v>
      </c>
      <c r="I154" s="145" t="b">
        <v>0</v>
      </c>
      <c r="J154" s="146" t="b">
        <v>0</v>
      </c>
      <c r="K154" s="458" t="b">
        <v>0</v>
      </c>
      <c r="L154" s="459" t="b">
        <v>0</v>
      </c>
      <c r="M154" s="459" t="b">
        <v>0</v>
      </c>
      <c r="N154" s="459" t="b">
        <v>0</v>
      </c>
      <c r="O154" s="459" t="b">
        <v>0</v>
      </c>
      <c r="P154" s="459" t="b">
        <v>0</v>
      </c>
      <c r="Q154" s="460" t="b">
        <v>0</v>
      </c>
      <c r="R154" s="144" t="b">
        <v>0</v>
      </c>
      <c r="S154" s="145" t="b">
        <v>0</v>
      </c>
      <c r="T154" s="145" t="b">
        <v>0</v>
      </c>
      <c r="U154" s="145" t="b">
        <v>0</v>
      </c>
      <c r="V154" s="145" t="b">
        <v>0</v>
      </c>
      <c r="W154" s="145" t="b">
        <v>0</v>
      </c>
      <c r="X154" s="146" t="b">
        <v>0</v>
      </c>
      <c r="Y154" s="458" t="b">
        <v>0</v>
      </c>
      <c r="Z154" s="459" t="b">
        <v>0</v>
      </c>
      <c r="AA154" s="459" t="b">
        <v>0</v>
      </c>
      <c r="AB154" s="459" t="b">
        <v>0</v>
      </c>
      <c r="AC154" s="459" t="b">
        <v>0</v>
      </c>
      <c r="AD154" s="459" t="b">
        <v>0</v>
      </c>
      <c r="AE154" s="460" t="b">
        <v>0</v>
      </c>
      <c r="AF154" s="144" t="b">
        <v>0</v>
      </c>
      <c r="AG154" s="146" t="b">
        <v>0</v>
      </c>
      <c r="AI154" s="23">
        <f t="shared" si="34"/>
        <v>30</v>
      </c>
      <c r="AJ154" s="23">
        <f t="shared" si="32"/>
        <v>0</v>
      </c>
      <c r="AK154" s="24">
        <f t="shared" si="33"/>
        <v>0</v>
      </c>
    </row>
    <row r="155" spans="3:38" ht="22.5" customHeight="1" x14ac:dyDescent="0.25">
      <c r="C155" s="452" t="s">
        <v>18</v>
      </c>
      <c r="D155" s="147" t="b">
        <v>0</v>
      </c>
      <c r="E155" s="148" t="b">
        <v>0</v>
      </c>
      <c r="F155" s="148" t="b">
        <v>0</v>
      </c>
      <c r="G155" s="148" t="b">
        <v>0</v>
      </c>
      <c r="H155" s="148" t="b">
        <v>0</v>
      </c>
      <c r="I155" s="148" t="b">
        <v>0</v>
      </c>
      <c r="J155" s="149" t="b">
        <v>0</v>
      </c>
      <c r="K155" s="461" t="b">
        <v>0</v>
      </c>
      <c r="L155" s="462" t="b">
        <v>0</v>
      </c>
      <c r="M155" s="462" t="b">
        <v>0</v>
      </c>
      <c r="N155" s="462" t="b">
        <v>0</v>
      </c>
      <c r="O155" s="462" t="b">
        <v>0</v>
      </c>
      <c r="P155" s="462" t="b">
        <v>0</v>
      </c>
      <c r="Q155" s="463" t="b">
        <v>0</v>
      </c>
      <c r="R155" s="147" t="b">
        <v>0</v>
      </c>
      <c r="S155" s="148" t="b">
        <v>0</v>
      </c>
      <c r="T155" s="148" t="b">
        <v>0</v>
      </c>
      <c r="U155" s="148" t="b">
        <v>0</v>
      </c>
      <c r="V155" s="148" t="b">
        <v>0</v>
      </c>
      <c r="W155" s="148" t="b">
        <v>0</v>
      </c>
      <c r="X155" s="149" t="b">
        <v>0</v>
      </c>
      <c r="Y155" s="461" t="b">
        <v>0</v>
      </c>
      <c r="Z155" s="462" t="b">
        <v>0</v>
      </c>
      <c r="AA155" s="462" t="b">
        <v>0</v>
      </c>
      <c r="AB155" s="462" t="b">
        <v>0</v>
      </c>
      <c r="AC155" s="462" t="b">
        <v>0</v>
      </c>
      <c r="AD155" s="462" t="b">
        <v>0</v>
      </c>
      <c r="AE155" s="463" t="b">
        <v>0</v>
      </c>
      <c r="AF155" s="147" t="b">
        <v>0</v>
      </c>
      <c r="AG155" s="149" t="b">
        <v>0</v>
      </c>
      <c r="AI155" s="23">
        <f t="shared" si="34"/>
        <v>30</v>
      </c>
      <c r="AJ155" s="23">
        <f t="shared" si="32"/>
        <v>0</v>
      </c>
      <c r="AK155" s="24">
        <f t="shared" si="33"/>
        <v>0</v>
      </c>
    </row>
    <row r="157" spans="3:38" ht="22.5" customHeight="1" x14ac:dyDescent="0.25">
      <c r="C157" s="466"/>
      <c r="D157" s="467" t="s">
        <v>53</v>
      </c>
      <c r="E157" s="467"/>
      <c r="F157" s="467"/>
      <c r="G157" s="467"/>
      <c r="H157" s="467"/>
      <c r="I157" s="467"/>
      <c r="J157" s="467"/>
      <c r="K157" s="468"/>
      <c r="L157" s="468"/>
      <c r="M157" s="468"/>
      <c r="N157" s="469" t="s">
        <v>21</v>
      </c>
      <c r="O157" s="468"/>
      <c r="P157" s="468"/>
      <c r="Q157" s="468"/>
      <c r="R157" s="468"/>
      <c r="S157" s="469" t="s">
        <v>23</v>
      </c>
      <c r="T157" s="468"/>
      <c r="U157" s="470"/>
      <c r="V157" s="468"/>
      <c r="W157" s="468"/>
      <c r="X157" s="469" t="s">
        <v>27</v>
      </c>
      <c r="Y157" s="468"/>
      <c r="Z157" s="468"/>
      <c r="AA157" s="468"/>
      <c r="AB157" s="469" t="s">
        <v>28</v>
      </c>
      <c r="AC157" s="468"/>
      <c r="AD157" s="468"/>
      <c r="AE157" s="468"/>
      <c r="AF157" s="468"/>
      <c r="AG157" s="468"/>
      <c r="AH157" s="471"/>
    </row>
    <row r="158" spans="3:38" ht="22.5" customHeight="1" x14ac:dyDescent="0.25">
      <c r="C158" s="472"/>
      <c r="D158" s="473"/>
      <c r="E158" s="473"/>
      <c r="F158" s="473"/>
      <c r="G158" s="473"/>
      <c r="H158" s="473"/>
      <c r="I158" s="473"/>
      <c r="J158" s="473"/>
      <c r="K158" s="474"/>
      <c r="L158" s="474"/>
      <c r="M158" s="474"/>
      <c r="N158" s="475">
        <f>COUNTA(C163:C169)</f>
        <v>7</v>
      </c>
      <c r="O158" s="474"/>
      <c r="P158" s="474"/>
      <c r="Q158" s="474"/>
      <c r="R158" s="474"/>
      <c r="S158" s="475">
        <f>COUNTIF(D163:AG169,TRUE)</f>
        <v>0</v>
      </c>
      <c r="T158" s="474"/>
      <c r="U158" s="476"/>
      <c r="V158" s="474"/>
      <c r="W158" s="477">
        <f>COUNTIF(D163:AH169, TRUE)/(COUNTA(D162:AH162)*COUNTA(C163:C169))</f>
        <v>0</v>
      </c>
      <c r="X158" s="477"/>
      <c r="Y158" s="477"/>
      <c r="Z158" s="474"/>
      <c r="AA158" s="474"/>
      <c r="AB158" s="478">
        <f>COUNTIF(D163:AH169, TRUE)/(COUNTA(D162:AH162)*COUNTA(C163:C169))</f>
        <v>0</v>
      </c>
      <c r="AC158" s="474"/>
      <c r="AD158" s="474"/>
      <c r="AE158" s="474"/>
      <c r="AF158" s="474"/>
      <c r="AG158" s="474"/>
      <c r="AH158" s="479"/>
    </row>
    <row r="160" spans="3:38" ht="22.5" customHeight="1" x14ac:dyDescent="0.25">
      <c r="C160" s="491" t="s">
        <v>1</v>
      </c>
      <c r="D160" s="480" t="s">
        <v>9</v>
      </c>
      <c r="E160" s="480"/>
      <c r="F160" s="480"/>
      <c r="G160" s="480"/>
      <c r="H160" s="480"/>
      <c r="I160" s="480"/>
      <c r="J160" s="480"/>
      <c r="K160" s="495" t="s">
        <v>10</v>
      </c>
      <c r="L160" s="495"/>
      <c r="M160" s="495"/>
      <c r="N160" s="495"/>
      <c r="O160" s="495"/>
      <c r="P160" s="495"/>
      <c r="Q160" s="495"/>
      <c r="R160" s="480" t="s">
        <v>11</v>
      </c>
      <c r="S160" s="480"/>
      <c r="T160" s="480"/>
      <c r="U160" s="480"/>
      <c r="V160" s="480"/>
      <c r="W160" s="480"/>
      <c r="X160" s="480"/>
      <c r="Y160" s="495" t="s">
        <v>12</v>
      </c>
      <c r="Z160" s="495"/>
      <c r="AA160" s="495"/>
      <c r="AB160" s="495"/>
      <c r="AC160" s="495"/>
      <c r="AD160" s="495"/>
      <c r="AE160" s="495"/>
      <c r="AF160" s="480" t="s">
        <v>13</v>
      </c>
      <c r="AG160" s="480"/>
      <c r="AH160" s="480"/>
      <c r="AJ160" s="506" t="s">
        <v>24</v>
      </c>
      <c r="AK160" s="506"/>
      <c r="AL160" s="506"/>
    </row>
    <row r="161" spans="3:38" ht="22.5" customHeight="1" x14ac:dyDescent="0.25">
      <c r="C161" s="491"/>
      <c r="D161" s="481" t="s">
        <v>7</v>
      </c>
      <c r="E161" s="481" t="s">
        <v>8</v>
      </c>
      <c r="F161" s="481" t="s">
        <v>2</v>
      </c>
      <c r="G161" s="481" t="s">
        <v>3</v>
      </c>
      <c r="H161" s="481" t="s">
        <v>4</v>
      </c>
      <c r="I161" s="481" t="s">
        <v>5</v>
      </c>
      <c r="J161" s="481" t="s">
        <v>44</v>
      </c>
      <c r="K161" s="496" t="s">
        <v>7</v>
      </c>
      <c r="L161" s="496" t="s">
        <v>8</v>
      </c>
      <c r="M161" s="496" t="s">
        <v>2</v>
      </c>
      <c r="N161" s="496" t="s">
        <v>3</v>
      </c>
      <c r="O161" s="496" t="s">
        <v>4</v>
      </c>
      <c r="P161" s="496" t="s">
        <v>5</v>
      </c>
      <c r="Q161" s="496" t="s">
        <v>44</v>
      </c>
      <c r="R161" s="481" t="s">
        <v>7</v>
      </c>
      <c r="S161" s="481" t="s">
        <v>8</v>
      </c>
      <c r="T161" s="481" t="s">
        <v>2</v>
      </c>
      <c r="U161" s="481" t="s">
        <v>3</v>
      </c>
      <c r="V161" s="481" t="s">
        <v>4</v>
      </c>
      <c r="W161" s="481" t="s">
        <v>5</v>
      </c>
      <c r="X161" s="481" t="s">
        <v>44</v>
      </c>
      <c r="Y161" s="496" t="s">
        <v>7</v>
      </c>
      <c r="Z161" s="496" t="s">
        <v>8</v>
      </c>
      <c r="AA161" s="496" t="s">
        <v>2</v>
      </c>
      <c r="AB161" s="496" t="s">
        <v>3</v>
      </c>
      <c r="AC161" s="496" t="s">
        <v>4</v>
      </c>
      <c r="AD161" s="496" t="s">
        <v>5</v>
      </c>
      <c r="AE161" s="496" t="s">
        <v>44</v>
      </c>
      <c r="AF161" s="481" t="s">
        <v>7</v>
      </c>
      <c r="AG161" s="481" t="s">
        <v>8</v>
      </c>
      <c r="AH161" s="481" t="s">
        <v>2</v>
      </c>
      <c r="AJ161" s="506"/>
      <c r="AK161" s="506"/>
      <c r="AL161" s="506"/>
    </row>
    <row r="162" spans="3:38" ht="22.5" customHeight="1" x14ac:dyDescent="0.25">
      <c r="C162" s="491"/>
      <c r="D162" s="481">
        <v>1</v>
      </c>
      <c r="E162" s="481">
        <v>2</v>
      </c>
      <c r="F162" s="481">
        <v>3</v>
      </c>
      <c r="G162" s="481">
        <v>4</v>
      </c>
      <c r="H162" s="481">
        <v>5</v>
      </c>
      <c r="I162" s="481">
        <v>6</v>
      </c>
      <c r="J162" s="481">
        <v>7</v>
      </c>
      <c r="K162" s="496">
        <v>8</v>
      </c>
      <c r="L162" s="496">
        <v>9</v>
      </c>
      <c r="M162" s="496">
        <v>10</v>
      </c>
      <c r="N162" s="496">
        <v>11</v>
      </c>
      <c r="O162" s="496">
        <v>12</v>
      </c>
      <c r="P162" s="496">
        <v>13</v>
      </c>
      <c r="Q162" s="496">
        <v>14</v>
      </c>
      <c r="R162" s="481">
        <v>15</v>
      </c>
      <c r="S162" s="481">
        <v>16</v>
      </c>
      <c r="T162" s="481">
        <v>17</v>
      </c>
      <c r="U162" s="481">
        <v>18</v>
      </c>
      <c r="V162" s="481">
        <v>19</v>
      </c>
      <c r="W162" s="481">
        <v>20</v>
      </c>
      <c r="X162" s="481">
        <v>21</v>
      </c>
      <c r="Y162" s="496">
        <v>22</v>
      </c>
      <c r="Z162" s="496">
        <v>23</v>
      </c>
      <c r="AA162" s="496">
        <v>24</v>
      </c>
      <c r="AB162" s="496">
        <v>25</v>
      </c>
      <c r="AC162" s="496">
        <v>26</v>
      </c>
      <c r="AD162" s="496">
        <v>27</v>
      </c>
      <c r="AE162" s="496">
        <v>28</v>
      </c>
      <c r="AF162" s="481">
        <v>29</v>
      </c>
      <c r="AG162" s="481">
        <v>30</v>
      </c>
      <c r="AH162" s="481">
        <v>31</v>
      </c>
      <c r="AJ162" s="507" t="s">
        <v>25</v>
      </c>
      <c r="AK162" s="507" t="s">
        <v>26</v>
      </c>
      <c r="AL162" s="507" t="s">
        <v>27</v>
      </c>
    </row>
    <row r="163" spans="3:38" ht="22.5" customHeight="1" x14ac:dyDescent="0.25">
      <c r="C163" s="492" t="s">
        <v>14</v>
      </c>
      <c r="D163" s="482" t="b">
        <v>0</v>
      </c>
      <c r="E163" s="483" t="b">
        <v>0</v>
      </c>
      <c r="F163" s="483" t="b">
        <v>0</v>
      </c>
      <c r="G163" s="483" t="b">
        <v>0</v>
      </c>
      <c r="H163" s="483" t="b">
        <v>0</v>
      </c>
      <c r="I163" s="483" t="b">
        <v>0</v>
      </c>
      <c r="J163" s="484" t="b">
        <v>0</v>
      </c>
      <c r="K163" s="497" t="b">
        <v>0</v>
      </c>
      <c r="L163" s="498" t="b">
        <v>0</v>
      </c>
      <c r="M163" s="498" t="b">
        <v>0</v>
      </c>
      <c r="N163" s="498" t="b">
        <v>0</v>
      </c>
      <c r="O163" s="498" t="b">
        <v>0</v>
      </c>
      <c r="P163" s="498" t="b">
        <v>0</v>
      </c>
      <c r="Q163" s="499" t="b">
        <v>0</v>
      </c>
      <c r="R163" s="482" t="b">
        <v>0</v>
      </c>
      <c r="S163" s="483" t="b">
        <v>0</v>
      </c>
      <c r="T163" s="483" t="b">
        <v>0</v>
      </c>
      <c r="U163" s="483" t="b">
        <v>0</v>
      </c>
      <c r="V163" s="483" t="b">
        <v>0</v>
      </c>
      <c r="W163" s="483" t="b">
        <v>0</v>
      </c>
      <c r="X163" s="484" t="b">
        <v>0</v>
      </c>
      <c r="Y163" s="497" t="b">
        <v>0</v>
      </c>
      <c r="Z163" s="498" t="b">
        <v>0</v>
      </c>
      <c r="AA163" s="498" t="b">
        <v>0</v>
      </c>
      <c r="AB163" s="498" t="b">
        <v>0</v>
      </c>
      <c r="AC163" s="498" t="b">
        <v>0</v>
      </c>
      <c r="AD163" s="498" t="b">
        <v>0</v>
      </c>
      <c r="AE163" s="499" t="b">
        <v>0</v>
      </c>
      <c r="AF163" s="482" t="b">
        <v>0</v>
      </c>
      <c r="AG163" s="483" t="b">
        <v>0</v>
      </c>
      <c r="AH163" s="483" t="b">
        <v>0</v>
      </c>
      <c r="AJ163" s="23">
        <f>COUNTA(D163:AH163)</f>
        <v>31</v>
      </c>
      <c r="AK163" s="23">
        <f t="shared" ref="AK163:AK169" si="35">COUNTIF(D163:AG163, TRUE)</f>
        <v>0</v>
      </c>
      <c r="AL163" s="24">
        <f>AK163/AJ163</f>
        <v>0</v>
      </c>
    </row>
    <row r="164" spans="3:38" ht="22.5" customHeight="1" x14ac:dyDescent="0.25">
      <c r="C164" s="493" t="s">
        <v>15</v>
      </c>
      <c r="D164" s="485" t="b">
        <v>0</v>
      </c>
      <c r="E164" s="486" t="b">
        <v>0</v>
      </c>
      <c r="F164" s="486" t="b">
        <v>0</v>
      </c>
      <c r="G164" s="486" t="b">
        <v>0</v>
      </c>
      <c r="H164" s="486" t="b">
        <v>0</v>
      </c>
      <c r="I164" s="486" t="b">
        <v>0</v>
      </c>
      <c r="J164" s="487" t="b">
        <v>0</v>
      </c>
      <c r="K164" s="500" t="b">
        <v>0</v>
      </c>
      <c r="L164" s="501" t="b">
        <v>0</v>
      </c>
      <c r="M164" s="501" t="b">
        <v>0</v>
      </c>
      <c r="N164" s="501" t="b">
        <v>0</v>
      </c>
      <c r="O164" s="501" t="b">
        <v>0</v>
      </c>
      <c r="P164" s="501" t="b">
        <v>0</v>
      </c>
      <c r="Q164" s="502" t="b">
        <v>0</v>
      </c>
      <c r="R164" s="485" t="b">
        <v>0</v>
      </c>
      <c r="S164" s="486" t="b">
        <v>0</v>
      </c>
      <c r="T164" s="486" t="b">
        <v>0</v>
      </c>
      <c r="U164" s="486" t="b">
        <v>0</v>
      </c>
      <c r="V164" s="486" t="b">
        <v>0</v>
      </c>
      <c r="W164" s="486" t="b">
        <v>0</v>
      </c>
      <c r="X164" s="487" t="b">
        <v>0</v>
      </c>
      <c r="Y164" s="500" t="b">
        <v>0</v>
      </c>
      <c r="Z164" s="501" t="b">
        <v>0</v>
      </c>
      <c r="AA164" s="501" t="b">
        <v>0</v>
      </c>
      <c r="AB164" s="501" t="b">
        <v>0</v>
      </c>
      <c r="AC164" s="501" t="b">
        <v>0</v>
      </c>
      <c r="AD164" s="501" t="b">
        <v>0</v>
      </c>
      <c r="AE164" s="502" t="b">
        <v>0</v>
      </c>
      <c r="AF164" s="485" t="b">
        <v>0</v>
      </c>
      <c r="AG164" s="486" t="b">
        <v>0</v>
      </c>
      <c r="AH164" s="486" t="b">
        <v>0</v>
      </c>
      <c r="AJ164" s="23">
        <f t="shared" ref="AJ164:AJ169" si="36">COUNTA(D164:AH164)</f>
        <v>31</v>
      </c>
      <c r="AK164" s="23">
        <f t="shared" si="35"/>
        <v>0</v>
      </c>
      <c r="AL164" s="24">
        <f t="shared" ref="AL164:AL169" si="37">AK164/AJ164</f>
        <v>0</v>
      </c>
    </row>
    <row r="165" spans="3:38" ht="22.5" customHeight="1" x14ac:dyDescent="0.25">
      <c r="C165" s="493" t="s">
        <v>16</v>
      </c>
      <c r="D165" s="485" t="b">
        <v>0</v>
      </c>
      <c r="E165" s="486" t="b">
        <v>0</v>
      </c>
      <c r="F165" s="486" t="b">
        <v>0</v>
      </c>
      <c r="G165" s="486" t="b">
        <v>0</v>
      </c>
      <c r="H165" s="486" t="b">
        <v>0</v>
      </c>
      <c r="I165" s="486" t="b">
        <v>0</v>
      </c>
      <c r="J165" s="487" t="b">
        <v>0</v>
      </c>
      <c r="K165" s="500" t="b">
        <v>0</v>
      </c>
      <c r="L165" s="501" t="b">
        <v>0</v>
      </c>
      <c r="M165" s="501" t="b">
        <v>0</v>
      </c>
      <c r="N165" s="501" t="b">
        <v>0</v>
      </c>
      <c r="O165" s="501" t="b">
        <v>0</v>
      </c>
      <c r="P165" s="501" t="b">
        <v>0</v>
      </c>
      <c r="Q165" s="502" t="b">
        <v>0</v>
      </c>
      <c r="R165" s="485" t="b">
        <v>0</v>
      </c>
      <c r="S165" s="486" t="b">
        <v>0</v>
      </c>
      <c r="T165" s="486" t="b">
        <v>0</v>
      </c>
      <c r="U165" s="486" t="b">
        <v>0</v>
      </c>
      <c r="V165" s="486" t="b">
        <v>0</v>
      </c>
      <c r="W165" s="486" t="b">
        <v>0</v>
      </c>
      <c r="X165" s="487" t="b">
        <v>0</v>
      </c>
      <c r="Y165" s="500" t="b">
        <v>0</v>
      </c>
      <c r="Z165" s="501" t="b">
        <v>0</v>
      </c>
      <c r="AA165" s="501" t="b">
        <v>0</v>
      </c>
      <c r="AB165" s="501" t="b">
        <v>0</v>
      </c>
      <c r="AC165" s="501" t="b">
        <v>0</v>
      </c>
      <c r="AD165" s="501" t="b">
        <v>0</v>
      </c>
      <c r="AE165" s="502" t="b">
        <v>0</v>
      </c>
      <c r="AF165" s="485" t="b">
        <v>0</v>
      </c>
      <c r="AG165" s="486" t="b">
        <v>0</v>
      </c>
      <c r="AH165" s="486" t="b">
        <v>0</v>
      </c>
      <c r="AJ165" s="23">
        <f t="shared" si="36"/>
        <v>31</v>
      </c>
      <c r="AK165" s="23">
        <f t="shared" si="35"/>
        <v>0</v>
      </c>
      <c r="AL165" s="24">
        <f t="shared" si="37"/>
        <v>0</v>
      </c>
    </row>
    <row r="166" spans="3:38" ht="22.5" customHeight="1" x14ac:dyDescent="0.25">
      <c r="C166" s="493" t="s">
        <v>17</v>
      </c>
      <c r="D166" s="485" t="b">
        <v>0</v>
      </c>
      <c r="E166" s="486" t="b">
        <v>0</v>
      </c>
      <c r="F166" s="486" t="b">
        <v>0</v>
      </c>
      <c r="G166" s="486" t="b">
        <v>0</v>
      </c>
      <c r="H166" s="486" t="b">
        <v>0</v>
      </c>
      <c r="I166" s="486" t="b">
        <v>0</v>
      </c>
      <c r="J166" s="487" t="b">
        <v>0</v>
      </c>
      <c r="K166" s="500" t="b">
        <v>0</v>
      </c>
      <c r="L166" s="501" t="b">
        <v>0</v>
      </c>
      <c r="M166" s="501" t="b">
        <v>0</v>
      </c>
      <c r="N166" s="501" t="b">
        <v>0</v>
      </c>
      <c r="O166" s="501" t="b">
        <v>0</v>
      </c>
      <c r="P166" s="501" t="b">
        <v>0</v>
      </c>
      <c r="Q166" s="502" t="b">
        <v>0</v>
      </c>
      <c r="R166" s="485" t="b">
        <v>0</v>
      </c>
      <c r="S166" s="486" t="b">
        <v>0</v>
      </c>
      <c r="T166" s="486" t="b">
        <v>0</v>
      </c>
      <c r="U166" s="486" t="b">
        <v>0</v>
      </c>
      <c r="V166" s="486" t="b">
        <v>0</v>
      </c>
      <c r="W166" s="486" t="b">
        <v>0</v>
      </c>
      <c r="X166" s="487" t="b">
        <v>0</v>
      </c>
      <c r="Y166" s="500" t="b">
        <v>0</v>
      </c>
      <c r="Z166" s="501" t="b">
        <v>0</v>
      </c>
      <c r="AA166" s="501" t="b">
        <v>0</v>
      </c>
      <c r="AB166" s="501" t="b">
        <v>0</v>
      </c>
      <c r="AC166" s="501" t="b">
        <v>0</v>
      </c>
      <c r="AD166" s="501" t="b">
        <v>0</v>
      </c>
      <c r="AE166" s="502" t="b">
        <v>0</v>
      </c>
      <c r="AF166" s="485" t="b">
        <v>0</v>
      </c>
      <c r="AG166" s="486" t="b">
        <v>0</v>
      </c>
      <c r="AH166" s="486" t="b">
        <v>0</v>
      </c>
      <c r="AJ166" s="23">
        <f t="shared" si="36"/>
        <v>31</v>
      </c>
      <c r="AK166" s="23">
        <f t="shared" si="35"/>
        <v>0</v>
      </c>
      <c r="AL166" s="24">
        <f t="shared" si="37"/>
        <v>0</v>
      </c>
    </row>
    <row r="167" spans="3:38" ht="22.5" customHeight="1" x14ac:dyDescent="0.25">
      <c r="C167" s="493" t="s">
        <v>19</v>
      </c>
      <c r="D167" s="485" t="b">
        <v>0</v>
      </c>
      <c r="E167" s="486" t="b">
        <v>0</v>
      </c>
      <c r="F167" s="486" t="b">
        <v>0</v>
      </c>
      <c r="G167" s="486" t="b">
        <v>0</v>
      </c>
      <c r="H167" s="486" t="b">
        <v>0</v>
      </c>
      <c r="I167" s="486" t="b">
        <v>0</v>
      </c>
      <c r="J167" s="487" t="b">
        <v>0</v>
      </c>
      <c r="K167" s="500" t="b">
        <v>0</v>
      </c>
      <c r="L167" s="501" t="b">
        <v>0</v>
      </c>
      <c r="M167" s="501" t="b">
        <v>0</v>
      </c>
      <c r="N167" s="501" t="b">
        <v>0</v>
      </c>
      <c r="O167" s="501" t="b">
        <v>0</v>
      </c>
      <c r="P167" s="501" t="b">
        <v>0</v>
      </c>
      <c r="Q167" s="502" t="b">
        <v>0</v>
      </c>
      <c r="R167" s="485" t="b">
        <v>0</v>
      </c>
      <c r="S167" s="486" t="b">
        <v>0</v>
      </c>
      <c r="T167" s="486" t="b">
        <v>0</v>
      </c>
      <c r="U167" s="486" t="b">
        <v>0</v>
      </c>
      <c r="V167" s="486" t="b">
        <v>0</v>
      </c>
      <c r="W167" s="486" t="b">
        <v>0</v>
      </c>
      <c r="X167" s="487" t="b">
        <v>0</v>
      </c>
      <c r="Y167" s="500" t="b">
        <v>0</v>
      </c>
      <c r="Z167" s="501" t="b">
        <v>0</v>
      </c>
      <c r="AA167" s="501" t="b">
        <v>0</v>
      </c>
      <c r="AB167" s="501" t="b">
        <v>0</v>
      </c>
      <c r="AC167" s="501" t="b">
        <v>0</v>
      </c>
      <c r="AD167" s="501" t="b">
        <v>0</v>
      </c>
      <c r="AE167" s="502" t="b">
        <v>0</v>
      </c>
      <c r="AF167" s="485" t="b">
        <v>0</v>
      </c>
      <c r="AG167" s="486" t="b">
        <v>0</v>
      </c>
      <c r="AH167" s="486" t="b">
        <v>0</v>
      </c>
      <c r="AJ167" s="23">
        <f t="shared" si="36"/>
        <v>31</v>
      </c>
      <c r="AK167" s="23">
        <f t="shared" si="35"/>
        <v>0</v>
      </c>
      <c r="AL167" s="24">
        <f t="shared" si="37"/>
        <v>0</v>
      </c>
    </row>
    <row r="168" spans="3:38" ht="22.5" customHeight="1" x14ac:dyDescent="0.25">
      <c r="C168" s="493" t="s">
        <v>20</v>
      </c>
      <c r="D168" s="485" t="b">
        <v>0</v>
      </c>
      <c r="E168" s="486" t="b">
        <v>0</v>
      </c>
      <c r="F168" s="486" t="b">
        <v>0</v>
      </c>
      <c r="G168" s="486" t="b">
        <v>0</v>
      </c>
      <c r="H168" s="486" t="b">
        <v>0</v>
      </c>
      <c r="I168" s="486" t="b">
        <v>0</v>
      </c>
      <c r="J168" s="487" t="b">
        <v>0</v>
      </c>
      <c r="K168" s="500" t="b">
        <v>0</v>
      </c>
      <c r="L168" s="501" t="b">
        <v>0</v>
      </c>
      <c r="M168" s="501" t="b">
        <v>0</v>
      </c>
      <c r="N168" s="501" t="b">
        <v>0</v>
      </c>
      <c r="O168" s="501" t="b">
        <v>0</v>
      </c>
      <c r="P168" s="501" t="b">
        <v>0</v>
      </c>
      <c r="Q168" s="502" t="b">
        <v>0</v>
      </c>
      <c r="R168" s="485" t="b">
        <v>0</v>
      </c>
      <c r="S168" s="486" t="b">
        <v>0</v>
      </c>
      <c r="T168" s="486" t="b">
        <v>0</v>
      </c>
      <c r="U168" s="486" t="b">
        <v>0</v>
      </c>
      <c r="V168" s="486" t="b">
        <v>0</v>
      </c>
      <c r="W168" s="486" t="b">
        <v>0</v>
      </c>
      <c r="X168" s="487" t="b">
        <v>0</v>
      </c>
      <c r="Y168" s="500" t="b">
        <v>0</v>
      </c>
      <c r="Z168" s="501" t="b">
        <v>0</v>
      </c>
      <c r="AA168" s="501" t="b">
        <v>0</v>
      </c>
      <c r="AB168" s="501" t="b">
        <v>0</v>
      </c>
      <c r="AC168" s="501" t="b">
        <v>0</v>
      </c>
      <c r="AD168" s="501" t="b">
        <v>0</v>
      </c>
      <c r="AE168" s="502" t="b">
        <v>0</v>
      </c>
      <c r="AF168" s="485" t="b">
        <v>0</v>
      </c>
      <c r="AG168" s="486" t="b">
        <v>0</v>
      </c>
      <c r="AH168" s="486" t="b">
        <v>0</v>
      </c>
      <c r="AJ168" s="23">
        <f t="shared" si="36"/>
        <v>31</v>
      </c>
      <c r="AK168" s="23">
        <f t="shared" si="35"/>
        <v>0</v>
      </c>
      <c r="AL168" s="24">
        <f t="shared" si="37"/>
        <v>0</v>
      </c>
    </row>
    <row r="169" spans="3:38" ht="22.5" customHeight="1" x14ac:dyDescent="0.25">
      <c r="C169" s="494" t="s">
        <v>18</v>
      </c>
      <c r="D169" s="488" t="b">
        <v>0</v>
      </c>
      <c r="E169" s="489" t="b">
        <v>0</v>
      </c>
      <c r="F169" s="489" t="b">
        <v>0</v>
      </c>
      <c r="G169" s="489" t="b">
        <v>0</v>
      </c>
      <c r="H169" s="489" t="b">
        <v>0</v>
      </c>
      <c r="I169" s="489" t="b">
        <v>0</v>
      </c>
      <c r="J169" s="490" t="b">
        <v>0</v>
      </c>
      <c r="K169" s="503" t="b">
        <v>0</v>
      </c>
      <c r="L169" s="504" t="b">
        <v>0</v>
      </c>
      <c r="M169" s="504" t="b">
        <v>0</v>
      </c>
      <c r="N169" s="504" t="b">
        <v>0</v>
      </c>
      <c r="O169" s="504" t="b">
        <v>0</v>
      </c>
      <c r="P169" s="504" t="b">
        <v>0</v>
      </c>
      <c r="Q169" s="505" t="b">
        <v>0</v>
      </c>
      <c r="R169" s="488" t="b">
        <v>0</v>
      </c>
      <c r="S169" s="489" t="b">
        <v>0</v>
      </c>
      <c r="T169" s="489" t="b">
        <v>0</v>
      </c>
      <c r="U169" s="489" t="b">
        <v>0</v>
      </c>
      <c r="V169" s="489" t="b">
        <v>0</v>
      </c>
      <c r="W169" s="489" t="b">
        <v>0</v>
      </c>
      <c r="X169" s="490" t="b">
        <v>0</v>
      </c>
      <c r="Y169" s="503" t="b">
        <v>0</v>
      </c>
      <c r="Z169" s="504" t="b">
        <v>0</v>
      </c>
      <c r="AA169" s="504" t="b">
        <v>0</v>
      </c>
      <c r="AB169" s="504" t="b">
        <v>0</v>
      </c>
      <c r="AC169" s="504" t="b">
        <v>0</v>
      </c>
      <c r="AD169" s="504" t="b">
        <v>0</v>
      </c>
      <c r="AE169" s="505" t="b">
        <v>0</v>
      </c>
      <c r="AF169" s="488" t="b">
        <v>0</v>
      </c>
      <c r="AG169" s="489" t="b">
        <v>0</v>
      </c>
      <c r="AH169" s="489" t="b">
        <v>0</v>
      </c>
      <c r="AJ169" s="23">
        <f t="shared" si="36"/>
        <v>31</v>
      </c>
      <c r="AK169" s="23">
        <f t="shared" si="35"/>
        <v>0</v>
      </c>
      <c r="AL169" s="24">
        <f t="shared" si="37"/>
        <v>0</v>
      </c>
    </row>
  </sheetData>
  <mergeCells count="107">
    <mergeCell ref="AF146:AG146"/>
    <mergeCell ref="AI146:AK147"/>
    <mergeCell ref="D157:J158"/>
    <mergeCell ref="W158:Y158"/>
    <mergeCell ref="C160:C162"/>
    <mergeCell ref="D160:J160"/>
    <mergeCell ref="K160:Q160"/>
    <mergeCell ref="R160:X160"/>
    <mergeCell ref="Y160:AE160"/>
    <mergeCell ref="AF160:AH160"/>
    <mergeCell ref="AJ160:AL161"/>
    <mergeCell ref="D143:J144"/>
    <mergeCell ref="W144:Y144"/>
    <mergeCell ref="C146:C148"/>
    <mergeCell ref="D146:J146"/>
    <mergeCell ref="K146:Q146"/>
    <mergeCell ref="R146:X146"/>
    <mergeCell ref="Y146:AE146"/>
    <mergeCell ref="AF90:AH90"/>
    <mergeCell ref="AJ90:AL91"/>
    <mergeCell ref="D87:J88"/>
    <mergeCell ref="W88:Y88"/>
    <mergeCell ref="C90:C92"/>
    <mergeCell ref="D90:J90"/>
    <mergeCell ref="K90:Q90"/>
    <mergeCell ref="R90:X90"/>
    <mergeCell ref="Y90:AE90"/>
    <mergeCell ref="AF62:AH62"/>
    <mergeCell ref="AJ62:AL63"/>
    <mergeCell ref="D73:J74"/>
    <mergeCell ref="W74:Y74"/>
    <mergeCell ref="C76:C78"/>
    <mergeCell ref="D76:J76"/>
    <mergeCell ref="K76:Q76"/>
    <mergeCell ref="R76:X76"/>
    <mergeCell ref="Y76:AE76"/>
    <mergeCell ref="AF76:AG76"/>
    <mergeCell ref="AI76:AK77"/>
    <mergeCell ref="C62:C64"/>
    <mergeCell ref="D62:J62"/>
    <mergeCell ref="K62:Q62"/>
    <mergeCell ref="R62:X62"/>
    <mergeCell ref="Y62:AE62"/>
    <mergeCell ref="AI48:AK49"/>
    <mergeCell ref="AF48:AG48"/>
    <mergeCell ref="D59:J60"/>
    <mergeCell ref="W60:Y60"/>
    <mergeCell ref="D45:J46"/>
    <mergeCell ref="W46:Y46"/>
    <mergeCell ref="C48:C50"/>
    <mergeCell ref="D48:J48"/>
    <mergeCell ref="K48:Q48"/>
    <mergeCell ref="R48:X48"/>
    <mergeCell ref="Y48:AE48"/>
    <mergeCell ref="Y34:AE34"/>
    <mergeCell ref="C6:C8"/>
    <mergeCell ref="D3:J4"/>
    <mergeCell ref="AJ6:AL7"/>
    <mergeCell ref="W4:Y4"/>
    <mergeCell ref="D6:J6"/>
    <mergeCell ref="K6:Q6"/>
    <mergeCell ref="R6:X6"/>
    <mergeCell ref="Y6:AE6"/>
    <mergeCell ref="AF6:AH6"/>
    <mergeCell ref="AF34:AH34"/>
    <mergeCell ref="AJ34:AL35"/>
    <mergeCell ref="D17:J18"/>
    <mergeCell ref="W18:Y18"/>
    <mergeCell ref="C20:C22"/>
    <mergeCell ref="D20:J20"/>
    <mergeCell ref="K20:Q20"/>
    <mergeCell ref="R20:X20"/>
    <mergeCell ref="Y20:AE20"/>
    <mergeCell ref="AG20:AI21"/>
    <mergeCell ref="D31:J32"/>
    <mergeCell ref="W32:Y32"/>
    <mergeCell ref="C34:C36"/>
    <mergeCell ref="D34:J34"/>
    <mergeCell ref="K34:Q34"/>
    <mergeCell ref="R34:X34"/>
    <mergeCell ref="C104:C106"/>
    <mergeCell ref="D104:J104"/>
    <mergeCell ref="K104:Q104"/>
    <mergeCell ref="R104:X104"/>
    <mergeCell ref="Y104:AE104"/>
    <mergeCell ref="AJ104:AL105"/>
    <mergeCell ref="AF104:AH104"/>
    <mergeCell ref="D115:J116"/>
    <mergeCell ref="W116:Y116"/>
    <mergeCell ref="D101:J102"/>
    <mergeCell ref="W102:Y102"/>
    <mergeCell ref="AF118:AG118"/>
    <mergeCell ref="AI118:AK119"/>
    <mergeCell ref="C118:C120"/>
    <mergeCell ref="D118:J118"/>
    <mergeCell ref="K118:Q118"/>
    <mergeCell ref="R118:X118"/>
    <mergeCell ref="Y118:AE118"/>
    <mergeCell ref="AF132:AH132"/>
    <mergeCell ref="AJ132:AL133"/>
    <mergeCell ref="D129:J130"/>
    <mergeCell ref="W130:Y130"/>
    <mergeCell ref="C132:C134"/>
    <mergeCell ref="D132:J132"/>
    <mergeCell ref="K132:Q132"/>
    <mergeCell ref="R132:X132"/>
    <mergeCell ref="Y132:AE132"/>
  </mergeCells>
  <phoneticPr fontId="5" type="noConversion"/>
  <conditionalFormatting sqref="D9">
    <cfRule type="dataBar" priority="6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{5ED69647-70F7-4B31-BC60-FE05E7E62523}</x14:id>
        </ext>
      </extLst>
    </cfRule>
  </conditionalFormatting>
  <conditionalFormatting sqref="D23">
    <cfRule type="dataBar" priority="5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{283FAB69-0992-4647-A3CD-A6075950C2C0}</x14:id>
        </ext>
      </extLst>
    </cfRule>
  </conditionalFormatting>
  <conditionalFormatting sqref="D37">
    <cfRule type="dataBar" priority="5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{77B46F2F-C151-4BAA-8588-7DD781F7EE70}</x14:id>
        </ext>
      </extLst>
    </cfRule>
  </conditionalFormatting>
  <conditionalFormatting sqref="D51">
    <cfRule type="dataBar" priority="4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{D97E524D-C636-408A-8C2E-35FD6A70CCD2}</x14:id>
        </ext>
      </extLst>
    </cfRule>
  </conditionalFormatting>
  <conditionalFormatting sqref="D65">
    <cfRule type="dataBar" priority="4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{5D85DFCB-0AE2-4303-A745-62DE6653B75F}</x14:id>
        </ext>
      </extLst>
    </cfRule>
  </conditionalFormatting>
  <conditionalFormatting sqref="D79">
    <cfRule type="dataBar" priority="4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{2F64091A-290E-4CCE-AA8C-2DDDE709C592}</x14:id>
        </ext>
      </extLst>
    </cfRule>
  </conditionalFormatting>
  <conditionalFormatting sqref="D93">
    <cfRule type="dataBar" priority="3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{DF344928-DB58-454A-8CC0-E73F364A135B}</x14:id>
        </ext>
      </extLst>
    </cfRule>
  </conditionalFormatting>
  <conditionalFormatting sqref="D107">
    <cfRule type="dataBar" priority="2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{88A0E9A4-5C5D-4271-86BD-9C59B5996185}</x14:id>
        </ext>
      </extLst>
    </cfRule>
  </conditionalFormatting>
  <conditionalFormatting sqref="D121">
    <cfRule type="dataBar" priority="2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{8725CD33-F3AF-44E7-8484-2E2AF7FA2095}</x14:id>
        </ext>
      </extLst>
    </cfRule>
  </conditionalFormatting>
  <conditionalFormatting sqref="D135">
    <cfRule type="dataBar" priority="1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{94033EEC-2156-4BBB-AC87-62B1E57C885F}</x14:id>
        </ext>
      </extLst>
    </cfRule>
  </conditionalFormatting>
  <conditionalFormatting sqref="R37 AF37">
    <cfRule type="dataBar" priority="4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{CD510ECC-8753-47BB-A2F5-05BBFC071945}</x14:id>
        </ext>
      </extLst>
    </cfRule>
  </conditionalFormatting>
  <conditionalFormatting sqref="R51 AF51">
    <cfRule type="dataBar" priority="3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{FDAFA322-1C4C-44C0-9D57-4F30E73F0B0F}</x14:id>
        </ext>
      </extLst>
    </cfRule>
  </conditionalFormatting>
  <conditionalFormatting sqref="R65 AF65">
    <cfRule type="dataBar" priority="3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{B9575AED-5194-4A9A-927C-E130101A8A1C}</x14:id>
        </ext>
      </extLst>
    </cfRule>
  </conditionalFormatting>
  <conditionalFormatting sqref="R79 AF79">
    <cfRule type="dataBar" priority="3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{70D2FE72-2160-4571-B742-4765F1A8898B}</x14:id>
        </ext>
      </extLst>
    </cfRule>
  </conditionalFormatting>
  <conditionalFormatting sqref="R93 AF93">
    <cfRule type="dataBar" priority="2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{D8581002-CB93-4BD9-AF76-AA871FA8B9B0}</x14:id>
        </ext>
      </extLst>
    </cfRule>
  </conditionalFormatting>
  <conditionalFormatting sqref="R107 AF107">
    <cfRule type="dataBar" priority="2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{A8FD0FBF-6DC5-4415-AF7F-E612D1F0BAED}</x14:id>
        </ext>
      </extLst>
    </cfRule>
  </conditionalFormatting>
  <conditionalFormatting sqref="R121 AF121">
    <cfRule type="dataBar" priority="1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{971B8643-5D46-4CD1-813E-9E45D7D1D0B4}</x14:id>
        </ext>
      </extLst>
    </cfRule>
  </conditionalFormatting>
  <conditionalFormatting sqref="R135 AF135">
    <cfRule type="dataBar" priority="1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{54EB8D46-FAA9-4992-9F9D-20EE422790BB}</x14:id>
        </ext>
      </extLst>
    </cfRule>
  </conditionalFormatting>
  <conditionalFormatting sqref="W4">
    <cfRule type="dataBar" priority="57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{16FF151F-02E3-478F-99D5-766BAB02E6CC}</x14:id>
        </ext>
      </extLst>
    </cfRule>
  </conditionalFormatting>
  <conditionalFormatting sqref="W18">
    <cfRule type="dataBar" priority="54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{6BA8D6BF-52F8-45F4-AFFC-5EAD417FC0CB}</x14:id>
        </ext>
      </extLst>
    </cfRule>
  </conditionalFormatting>
  <conditionalFormatting sqref="W32">
    <cfRule type="dataBar" priority="50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{B32DB54E-182A-4C09-ACA3-6B1667566AF0}</x14:id>
        </ext>
      </extLst>
    </cfRule>
  </conditionalFormatting>
  <conditionalFormatting sqref="W46">
    <cfRule type="dataBar" priority="46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{12DC9E74-1089-4EA2-A601-4DECE0AFE9F1}</x14:id>
        </ext>
      </extLst>
    </cfRule>
  </conditionalFormatting>
  <conditionalFormatting sqref="W60">
    <cfRule type="dataBar" priority="42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{AA935871-AFDE-4BA1-87B0-4F16C7C42A09}</x14:id>
        </ext>
      </extLst>
    </cfRule>
  </conditionalFormatting>
  <conditionalFormatting sqref="W74">
    <cfRule type="dataBar" priority="38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{66AEE7B2-E35D-4E03-A5AF-9CC4AB27D43A}</x14:id>
        </ext>
      </extLst>
    </cfRule>
  </conditionalFormatting>
  <conditionalFormatting sqref="W88">
    <cfRule type="dataBar" priority="34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{F1684C70-89BC-46D0-A4ED-5A2A339AEF9E}</x14:id>
        </ext>
      </extLst>
    </cfRule>
  </conditionalFormatting>
  <conditionalFormatting sqref="W102">
    <cfRule type="dataBar" priority="26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{88B79A8E-B86B-4EA5-AF97-CC65013C0679}</x14:id>
        </ext>
      </extLst>
    </cfRule>
  </conditionalFormatting>
  <conditionalFormatting sqref="W116">
    <cfRule type="dataBar" priority="20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{955A84E0-EDC2-45BC-90FD-7897A459DA2B}</x14:id>
        </ext>
      </extLst>
    </cfRule>
  </conditionalFormatting>
  <conditionalFormatting sqref="W130">
    <cfRule type="dataBar" priority="13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{8EB7D013-75AB-4CC7-BC45-2BE66D7FDE8F}</x14:id>
        </ext>
      </extLst>
    </cfRule>
  </conditionalFormatting>
  <conditionalFormatting sqref="AI23:AI29">
    <cfRule type="dataBar" priority="55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{B7095668-C588-4391-8B24-5D0CFDE1237A}</x14:id>
        </ext>
      </extLst>
    </cfRule>
  </conditionalFormatting>
  <conditionalFormatting sqref="AK51:AK57">
    <cfRule type="dataBar" priority="47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{F9241725-D262-4370-9727-FB3BD1AAA798}</x14:id>
        </ext>
      </extLst>
    </cfRule>
  </conditionalFormatting>
  <conditionalFormatting sqref="AK79:AK85">
    <cfRule type="dataBar" priority="39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{065C07E4-8CED-47E2-884A-21123DC5E508}</x14:id>
        </ext>
      </extLst>
    </cfRule>
  </conditionalFormatting>
  <conditionalFormatting sqref="AK121:AK127">
    <cfRule type="dataBar" priority="21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{8032F8A8-406A-4963-9D18-BC1E05AB1169}</x14:id>
        </ext>
      </extLst>
    </cfRule>
  </conditionalFormatting>
  <conditionalFormatting sqref="AL9:AL15">
    <cfRule type="dataBar" priority="58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{D8E2A7FE-A212-43C1-B471-5DF116DB2D6A}</x14:id>
        </ext>
      </extLst>
    </cfRule>
  </conditionalFormatting>
  <conditionalFormatting sqref="AL37:AL43">
    <cfRule type="dataBar" priority="51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{F2BCA952-3E8B-4860-AA7C-36EC11AA4BE2}</x14:id>
        </ext>
      </extLst>
    </cfRule>
  </conditionalFormatting>
  <conditionalFormatting sqref="AL65:AL71">
    <cfRule type="dataBar" priority="43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{6430122A-C0D3-417C-BE6F-6DF21AB44076}</x14:id>
        </ext>
      </extLst>
    </cfRule>
  </conditionalFormatting>
  <conditionalFormatting sqref="AL93:AL99">
    <cfRule type="dataBar" priority="35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{8D494CEA-3B7D-472A-BC4A-15444187E7EA}</x14:id>
        </ext>
      </extLst>
    </cfRule>
  </conditionalFormatting>
  <conditionalFormatting sqref="AL107:AL113">
    <cfRule type="dataBar" priority="27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{D3CC8BBF-B662-4111-97B2-B42E5D3ADB59}</x14:id>
        </ext>
      </extLst>
    </cfRule>
  </conditionalFormatting>
  <conditionalFormatting sqref="AL135:AL141">
    <cfRule type="dataBar" priority="14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{F98D0D00-9BD1-4FE5-8930-DB27234D4BF7}</x14:id>
        </ext>
      </extLst>
    </cfRule>
  </conditionalFormatting>
  <conditionalFormatting sqref="D149">
    <cfRule type="dataBar" priority="1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{164CD662-3B46-4291-82ED-37ED163358B5}</x14:id>
        </ext>
      </extLst>
    </cfRule>
  </conditionalFormatting>
  <conditionalFormatting sqref="W144">
    <cfRule type="dataBar" priority="8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{9478F604-4ED4-4C15-A94F-3C87FB72893E}</x14:id>
        </ext>
      </extLst>
    </cfRule>
  </conditionalFormatting>
  <conditionalFormatting sqref="AK149:AK155">
    <cfRule type="dataBar" priority="9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{DE834EB4-CE64-4A8F-AC28-F3CBE297B0F7}</x14:id>
        </ext>
      </extLst>
    </cfRule>
  </conditionalFormatting>
  <conditionalFormatting sqref="R149 AF149">
    <cfRule type="dataBar" priority="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{D06C7C68-4E9D-4FA0-B8C9-DFC91A9FCF94}</x14:id>
        </ext>
      </extLst>
    </cfRule>
  </conditionalFormatting>
  <conditionalFormatting sqref="D163">
    <cfRule type="dataBar" priority="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{A073D8F8-5DC1-4C30-A4C7-9777CC0106EF}</x14:id>
        </ext>
      </extLst>
    </cfRule>
  </conditionalFormatting>
  <conditionalFormatting sqref="W158">
    <cfRule type="dataBar" priority="3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{91F1532A-6D74-4786-9619-EA5B52982194}</x14:id>
        </ext>
      </extLst>
    </cfRule>
  </conditionalFormatting>
  <conditionalFormatting sqref="AL163:AL169">
    <cfRule type="dataBar" priority="4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{89BB4429-09FC-4CA9-950F-773B6AD283E1}</x14:id>
        </ext>
      </extLst>
    </cfRule>
  </conditionalFormatting>
  <conditionalFormatting sqref="R163 AF163">
    <cfRule type="dataBar" priority="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{E12B11D8-5280-4C85-A10C-885F9EF3538A}</x14:id>
        </ext>
      </extLst>
    </cfRule>
  </conditionalFormatting>
  <hyperlinks>
    <hyperlink ref="A1" location="Tracker!B2" display="Home" xr:uid="{305CD81D-1102-472E-AC11-9D755834CCB3}"/>
    <hyperlink ref="L1" location="JANUARY2026" display="Jan" xr:uid="{C5F547FB-EECA-4467-BF87-0D6CBA78D93A}"/>
    <hyperlink ref="M1" location="FEBRUARY2026" display="Feb" xr:uid="{F81387FE-461E-4315-A2C3-08EE90B4D5BE}"/>
    <hyperlink ref="N1" location="MARCH2026" display="Mar" xr:uid="{0AEAC8CF-A4C7-4688-B150-66CB42A3BA1D}"/>
    <hyperlink ref="O1" location="APRIL2026" display="Apr" xr:uid="{FAB4BD74-4F6D-4ADA-862D-9A9E66EAA189}"/>
    <hyperlink ref="P1" location="MAY_2026" display="May" xr:uid="{8D2F73AA-3219-4B91-A1BD-86693FA6CF71}"/>
    <hyperlink ref="Q1" location="JUNE2026" display="Jun" xr:uid="{A3FF9B87-6082-4AA8-8D86-C7681FE53D55}"/>
    <hyperlink ref="R1" location="JULY2026" display="Jul" xr:uid="{E2262770-AF14-41AB-B960-34875CAFC307}"/>
    <hyperlink ref="S1" location="AUGUST2026" display="Aug" xr:uid="{B6C4B3F2-1D5A-4B2B-BC29-EE11C0C5213E}"/>
    <hyperlink ref="T1" location="SEPTEMBER2026" display="Sep" xr:uid="{C866DB43-79E3-43A6-9104-EA22526B2FDF}"/>
    <hyperlink ref="U1" location="OCTOBER2026" display="Oct" xr:uid="{E1117ED5-B4BB-42E1-930D-67C369B5E065}"/>
    <hyperlink ref="V1" location="NOVEMBER2026" display="Nov" xr:uid="{1985A943-C06F-4A73-BC43-43AEC115333C}"/>
    <hyperlink ref="W1" location="DECEMBER2026" display="Dec" xr:uid="{7E3B2CA7-6273-4B36-A6D3-60B3CF373125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D69647-70F7-4B31-BC60-FE05E7E625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283FAB69-0992-4647-A3CD-A6075950C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D23</xm:sqref>
        </x14:conditionalFormatting>
        <x14:conditionalFormatting xmlns:xm="http://schemas.microsoft.com/office/excel/2006/main">
          <x14:cfRule type="dataBar" id="{77B46F2F-C151-4BAA-8588-7DD781F7EE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D37</xm:sqref>
        </x14:conditionalFormatting>
        <x14:conditionalFormatting xmlns:xm="http://schemas.microsoft.com/office/excel/2006/main">
          <x14:cfRule type="dataBar" id="{D97E524D-C636-408A-8C2E-35FD6A70CC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</xm:sqref>
        </x14:conditionalFormatting>
        <x14:conditionalFormatting xmlns:xm="http://schemas.microsoft.com/office/excel/2006/main">
          <x14:cfRule type="dataBar" id="{5D85DFCB-0AE2-4303-A745-62DE6653B7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D65</xm:sqref>
        </x14:conditionalFormatting>
        <x14:conditionalFormatting xmlns:xm="http://schemas.microsoft.com/office/excel/2006/main">
          <x14:cfRule type="dataBar" id="{2F64091A-290E-4CCE-AA8C-2DDDE709C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D79</xm:sqref>
        </x14:conditionalFormatting>
        <x14:conditionalFormatting xmlns:xm="http://schemas.microsoft.com/office/excel/2006/main">
          <x14:cfRule type="dataBar" id="{DF344928-DB58-454A-8CC0-E73F364A13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D93</xm:sqref>
        </x14:conditionalFormatting>
        <x14:conditionalFormatting xmlns:xm="http://schemas.microsoft.com/office/excel/2006/main">
          <x14:cfRule type="dataBar" id="{88A0E9A4-5C5D-4271-86BD-9C59B59961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D107</xm:sqref>
        </x14:conditionalFormatting>
        <x14:conditionalFormatting xmlns:xm="http://schemas.microsoft.com/office/excel/2006/main">
          <x14:cfRule type="dataBar" id="{8725CD33-F3AF-44E7-8484-2E2AF7FA20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D121</xm:sqref>
        </x14:conditionalFormatting>
        <x14:conditionalFormatting xmlns:xm="http://schemas.microsoft.com/office/excel/2006/main">
          <x14:cfRule type="dataBar" id="{94033EEC-2156-4BBB-AC87-62B1E57C88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D135</xm:sqref>
        </x14:conditionalFormatting>
        <x14:conditionalFormatting xmlns:xm="http://schemas.microsoft.com/office/excel/2006/main">
          <x14:cfRule type="dataBar" id="{CD510ECC-8753-47BB-A2F5-05BBFC0719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R37 AF37</xm:sqref>
        </x14:conditionalFormatting>
        <x14:conditionalFormatting xmlns:xm="http://schemas.microsoft.com/office/excel/2006/main">
          <x14:cfRule type="dataBar" id="{FDAFA322-1C4C-44C0-9D57-4F30E73F0B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R51 AF51</xm:sqref>
        </x14:conditionalFormatting>
        <x14:conditionalFormatting xmlns:xm="http://schemas.microsoft.com/office/excel/2006/main">
          <x14:cfRule type="dataBar" id="{B9575AED-5194-4A9A-927C-E130101A8A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R65 AF65</xm:sqref>
        </x14:conditionalFormatting>
        <x14:conditionalFormatting xmlns:xm="http://schemas.microsoft.com/office/excel/2006/main">
          <x14:cfRule type="dataBar" id="{70D2FE72-2160-4571-B742-4765F1A889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R79 AF79</xm:sqref>
        </x14:conditionalFormatting>
        <x14:conditionalFormatting xmlns:xm="http://schemas.microsoft.com/office/excel/2006/main">
          <x14:cfRule type="dataBar" id="{D8581002-CB93-4BD9-AF76-AA871FA8B9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R93 AF93</xm:sqref>
        </x14:conditionalFormatting>
        <x14:conditionalFormatting xmlns:xm="http://schemas.microsoft.com/office/excel/2006/main">
          <x14:cfRule type="dataBar" id="{A8FD0FBF-6DC5-4415-AF7F-E612D1F0BA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R107 AF107</xm:sqref>
        </x14:conditionalFormatting>
        <x14:conditionalFormatting xmlns:xm="http://schemas.microsoft.com/office/excel/2006/main">
          <x14:cfRule type="dataBar" id="{971B8643-5D46-4CD1-813E-9E45D7D1D0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R121 AF121</xm:sqref>
        </x14:conditionalFormatting>
        <x14:conditionalFormatting xmlns:xm="http://schemas.microsoft.com/office/excel/2006/main">
          <x14:cfRule type="dataBar" id="{54EB8D46-FAA9-4992-9F9D-20EE422790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R135 AF135</xm:sqref>
        </x14:conditionalFormatting>
        <x14:conditionalFormatting xmlns:xm="http://schemas.microsoft.com/office/excel/2006/main">
          <x14:cfRule type="dataBar" id="{16FF151F-02E3-478F-99D5-766BAB02E6CC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</xm:sqref>
        </x14:conditionalFormatting>
        <x14:conditionalFormatting xmlns:xm="http://schemas.microsoft.com/office/excel/2006/main">
          <x14:cfRule type="dataBar" id="{6BA8D6BF-52F8-45F4-AFFC-5EAD417FC0CB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W18</xm:sqref>
        </x14:conditionalFormatting>
        <x14:conditionalFormatting xmlns:xm="http://schemas.microsoft.com/office/excel/2006/main">
          <x14:cfRule type="dataBar" id="{B32DB54E-182A-4C09-ACA3-6B1667566AF0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W32</xm:sqref>
        </x14:conditionalFormatting>
        <x14:conditionalFormatting xmlns:xm="http://schemas.microsoft.com/office/excel/2006/main">
          <x14:cfRule type="dataBar" id="{12DC9E74-1089-4EA2-A601-4DECE0AFE9F1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W46</xm:sqref>
        </x14:conditionalFormatting>
        <x14:conditionalFormatting xmlns:xm="http://schemas.microsoft.com/office/excel/2006/main">
          <x14:cfRule type="dataBar" id="{AA935871-AFDE-4BA1-87B0-4F16C7C42A09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W60</xm:sqref>
        </x14:conditionalFormatting>
        <x14:conditionalFormatting xmlns:xm="http://schemas.microsoft.com/office/excel/2006/main">
          <x14:cfRule type="dataBar" id="{66AEE7B2-E35D-4E03-A5AF-9CC4AB27D43A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W74</xm:sqref>
        </x14:conditionalFormatting>
        <x14:conditionalFormatting xmlns:xm="http://schemas.microsoft.com/office/excel/2006/main">
          <x14:cfRule type="dataBar" id="{F1684C70-89BC-46D0-A4ED-5A2A339AEF9E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W88</xm:sqref>
        </x14:conditionalFormatting>
        <x14:conditionalFormatting xmlns:xm="http://schemas.microsoft.com/office/excel/2006/main">
          <x14:cfRule type="dataBar" id="{88B79A8E-B86B-4EA5-AF97-CC65013C0679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W102</xm:sqref>
        </x14:conditionalFormatting>
        <x14:conditionalFormatting xmlns:xm="http://schemas.microsoft.com/office/excel/2006/main">
          <x14:cfRule type="dataBar" id="{955A84E0-EDC2-45BC-90FD-7897A459DA2B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W116</xm:sqref>
        </x14:conditionalFormatting>
        <x14:conditionalFormatting xmlns:xm="http://schemas.microsoft.com/office/excel/2006/main">
          <x14:cfRule type="dataBar" id="{8EB7D013-75AB-4CC7-BC45-2BE66D7FDE8F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W130</xm:sqref>
        </x14:conditionalFormatting>
        <x14:conditionalFormatting xmlns:xm="http://schemas.microsoft.com/office/excel/2006/main">
          <x14:cfRule type="dataBar" id="{B7095668-C588-4391-8B24-5D0CFDE1237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AI23:AI29</xm:sqref>
        </x14:conditionalFormatting>
        <x14:conditionalFormatting xmlns:xm="http://schemas.microsoft.com/office/excel/2006/main">
          <x14:cfRule type="dataBar" id="{F9241725-D262-4370-9727-FB3BD1AAA798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AK51:AK57</xm:sqref>
        </x14:conditionalFormatting>
        <x14:conditionalFormatting xmlns:xm="http://schemas.microsoft.com/office/excel/2006/main">
          <x14:cfRule type="dataBar" id="{065C07E4-8CED-47E2-884A-21123DC5E508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AK79:AK85</xm:sqref>
        </x14:conditionalFormatting>
        <x14:conditionalFormatting xmlns:xm="http://schemas.microsoft.com/office/excel/2006/main">
          <x14:cfRule type="dataBar" id="{8032F8A8-406A-4963-9D18-BC1E05AB1169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AK121:AK127</xm:sqref>
        </x14:conditionalFormatting>
        <x14:conditionalFormatting xmlns:xm="http://schemas.microsoft.com/office/excel/2006/main">
          <x14:cfRule type="dataBar" id="{D8E2A7FE-A212-43C1-B471-5DF116DB2D6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AL9:AL15</xm:sqref>
        </x14:conditionalFormatting>
        <x14:conditionalFormatting xmlns:xm="http://schemas.microsoft.com/office/excel/2006/main">
          <x14:cfRule type="dataBar" id="{F2BCA952-3E8B-4860-AA7C-36EC11AA4BE2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AL37:AL43</xm:sqref>
        </x14:conditionalFormatting>
        <x14:conditionalFormatting xmlns:xm="http://schemas.microsoft.com/office/excel/2006/main">
          <x14:cfRule type="dataBar" id="{6430122A-C0D3-417C-BE6F-6DF21AB44076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AL65:AL71</xm:sqref>
        </x14:conditionalFormatting>
        <x14:conditionalFormatting xmlns:xm="http://schemas.microsoft.com/office/excel/2006/main">
          <x14:cfRule type="dataBar" id="{8D494CEA-3B7D-472A-BC4A-15444187E7E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AL93:AL99</xm:sqref>
        </x14:conditionalFormatting>
        <x14:conditionalFormatting xmlns:xm="http://schemas.microsoft.com/office/excel/2006/main">
          <x14:cfRule type="dataBar" id="{D3CC8BBF-B662-4111-97B2-B42E5D3ADB59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AL107:AL113</xm:sqref>
        </x14:conditionalFormatting>
        <x14:conditionalFormatting xmlns:xm="http://schemas.microsoft.com/office/excel/2006/main">
          <x14:cfRule type="dataBar" id="{F98D0D00-9BD1-4FE5-8930-DB27234D4BF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AL135:AL141</xm:sqref>
        </x14:conditionalFormatting>
        <x14:conditionalFormatting xmlns:xm="http://schemas.microsoft.com/office/excel/2006/main">
          <x14:cfRule type="dataBar" id="{164CD662-3B46-4291-82ED-37ED163358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D149</xm:sqref>
        </x14:conditionalFormatting>
        <x14:conditionalFormatting xmlns:xm="http://schemas.microsoft.com/office/excel/2006/main">
          <x14:cfRule type="dataBar" id="{9478F604-4ED4-4C15-A94F-3C87FB72893E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W144</xm:sqref>
        </x14:conditionalFormatting>
        <x14:conditionalFormatting xmlns:xm="http://schemas.microsoft.com/office/excel/2006/main">
          <x14:cfRule type="dataBar" id="{DE834EB4-CE64-4A8F-AC28-F3CBE297B0F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AK149:AK155</xm:sqref>
        </x14:conditionalFormatting>
        <x14:conditionalFormatting xmlns:xm="http://schemas.microsoft.com/office/excel/2006/main">
          <x14:cfRule type="dataBar" id="{D06C7C68-4E9D-4FA0-B8C9-DFC91A9FCF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R149 AF149</xm:sqref>
        </x14:conditionalFormatting>
        <x14:conditionalFormatting xmlns:xm="http://schemas.microsoft.com/office/excel/2006/main">
          <x14:cfRule type="dataBar" id="{A073D8F8-5DC1-4C30-A4C7-9777CC0106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D163</xm:sqref>
        </x14:conditionalFormatting>
        <x14:conditionalFormatting xmlns:xm="http://schemas.microsoft.com/office/excel/2006/main">
          <x14:cfRule type="dataBar" id="{91F1532A-6D74-4786-9619-EA5B52982194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W158</xm:sqref>
        </x14:conditionalFormatting>
        <x14:conditionalFormatting xmlns:xm="http://schemas.microsoft.com/office/excel/2006/main">
          <x14:cfRule type="dataBar" id="{89BB4429-09FC-4CA9-950F-773B6AD283E1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AL163:AL169</xm:sqref>
        </x14:conditionalFormatting>
        <x14:conditionalFormatting xmlns:xm="http://schemas.microsoft.com/office/excel/2006/main">
          <x14:cfRule type="dataBar" id="{E12B11D8-5280-4C85-A10C-885F9EF353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R163 AF163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12</vt:i4>
      </vt:variant>
    </vt:vector>
  </HeadingPairs>
  <TitlesOfParts>
    <vt:vector size="13" baseType="lpstr">
      <vt:lpstr>Tracker</vt:lpstr>
      <vt:lpstr>APRIL2026</vt:lpstr>
      <vt:lpstr>AUGUST2026</vt:lpstr>
      <vt:lpstr>DECEMBER2026</vt:lpstr>
      <vt:lpstr>FEBRUARY2026</vt:lpstr>
      <vt:lpstr>JANUARY2026</vt:lpstr>
      <vt:lpstr>JULY2026</vt:lpstr>
      <vt:lpstr>JUNE2026</vt:lpstr>
      <vt:lpstr>MARCH2026</vt:lpstr>
      <vt:lpstr>MAY_2026</vt:lpstr>
      <vt:lpstr>NOVEMBER2026</vt:lpstr>
      <vt:lpstr>OCTOBER2026</vt:lpstr>
      <vt:lpstr>SEPTEMBER2026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Jedrek Gabison</dc:creator>
  <cp:lastModifiedBy>Liam Jedrek Gabison</cp:lastModifiedBy>
  <dcterms:created xsi:type="dcterms:W3CDTF">2026-03-05T11:01:47Z</dcterms:created>
  <dcterms:modified xsi:type="dcterms:W3CDTF">2026-03-10T15:19:17Z</dcterms:modified>
</cp:coreProperties>
</file>