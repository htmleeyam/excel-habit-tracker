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ecea47ed236db4/Documents/"/>
    </mc:Choice>
  </mc:AlternateContent>
  <xr:revisionPtr revIDLastSave="457" documentId="8_{B4A92509-3616-4288-BBE3-4F78B3E6BF80}" xr6:coauthVersionLast="47" xr6:coauthVersionMax="47" xr10:uidLastSave="{9048B004-651D-4F04-94BE-44E9FA2E7138}"/>
  <bookViews>
    <workbookView xWindow="-120" yWindow="-120" windowWidth="29040" windowHeight="15720" xr2:uid="{2D96F968-432B-4D36-81A1-42C339CDBEC7}"/>
  </bookViews>
  <sheets>
    <sheet name="Tracker" sheetId="1" r:id="rId1"/>
  </sheets>
  <definedNames>
    <definedName name="FEBRUARY2026">Tracker!$D$17</definedName>
    <definedName name="JANUARY2026">Tracker!$D$3</definedName>
    <definedName name="MARCH2026">Tracker!$D$31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9" i="1" l="1"/>
  <c r="AL39" i="1" s="1"/>
  <c r="AJ38" i="1"/>
  <c r="AJ39" i="1"/>
  <c r="AJ40" i="1"/>
  <c r="AJ41" i="1"/>
  <c r="AJ42" i="1"/>
  <c r="AJ43" i="1"/>
  <c r="AJ37" i="1"/>
  <c r="AI23" i="1"/>
  <c r="AK43" i="1"/>
  <c r="AL43" i="1" s="1"/>
  <c r="AK42" i="1"/>
  <c r="AL42" i="1" s="1"/>
  <c r="AK41" i="1"/>
  <c r="AK40" i="1"/>
  <c r="AL40" i="1" s="1"/>
  <c r="AK38" i="1"/>
  <c r="AL38" i="1" s="1"/>
  <c r="AK37" i="1"/>
  <c r="AB32" i="1"/>
  <c r="W32" i="1"/>
  <c r="S32" i="1"/>
  <c r="N32" i="1"/>
  <c r="AG24" i="1"/>
  <c r="AG25" i="1"/>
  <c r="AG26" i="1"/>
  <c r="AG27" i="1"/>
  <c r="AG28" i="1"/>
  <c r="AG29" i="1"/>
  <c r="AG23" i="1"/>
  <c r="AH29" i="1"/>
  <c r="AH28" i="1"/>
  <c r="AH27" i="1"/>
  <c r="AI27" i="1" s="1"/>
  <c r="AH26" i="1"/>
  <c r="AH25" i="1"/>
  <c r="AI25" i="1" s="1"/>
  <c r="AH24" i="1"/>
  <c r="AI24" i="1" s="1"/>
  <c r="AH23" i="1"/>
  <c r="AB18" i="1"/>
  <c r="W18" i="1"/>
  <c r="S18" i="1"/>
  <c r="N18" i="1"/>
  <c r="AB4" i="1"/>
  <c r="W4" i="1"/>
  <c r="AK10" i="1"/>
  <c r="AL10" i="1" s="1"/>
  <c r="AK11" i="1"/>
  <c r="AL11" i="1" s="1"/>
  <c r="AK12" i="1"/>
  <c r="AL12" i="1" s="1"/>
  <c r="AK13" i="1"/>
  <c r="AL13" i="1" s="1"/>
  <c r="AK14" i="1"/>
  <c r="AK15" i="1"/>
  <c r="AK9" i="1"/>
  <c r="AJ10" i="1"/>
  <c r="AJ11" i="1"/>
  <c r="AJ12" i="1"/>
  <c r="AJ13" i="1"/>
  <c r="AJ14" i="1"/>
  <c r="AJ15" i="1"/>
  <c r="AJ9" i="1"/>
  <c r="S4" i="1"/>
  <c r="N4" i="1"/>
  <c r="AL37" i="1" l="1"/>
  <c r="AL41" i="1"/>
  <c r="AI28" i="1"/>
  <c r="AI29" i="1"/>
  <c r="AI26" i="1"/>
  <c r="AL9" i="1"/>
  <c r="AL15" i="1"/>
  <c r="AL14" i="1"/>
</calcChain>
</file>

<file path=xl/sharedStrings.xml><?xml version="1.0" encoding="utf-8"?>
<sst xmlns="http://schemas.openxmlformats.org/spreadsheetml/2006/main" count="170" uniqueCount="44">
  <si>
    <t>2026 HABIT TRACKER</t>
  </si>
  <si>
    <t>Habits</t>
  </si>
  <si>
    <t>Sa</t>
  </si>
  <si>
    <t>Su</t>
  </si>
  <si>
    <t>Mo</t>
  </si>
  <si>
    <t>Tu</t>
  </si>
  <si>
    <t>We</t>
  </si>
  <si>
    <t>Th</t>
  </si>
  <si>
    <t>Fr</t>
  </si>
  <si>
    <t>Week 1</t>
  </si>
  <si>
    <t>Week 2</t>
  </si>
  <si>
    <t>Week 3</t>
  </si>
  <si>
    <t>Week 4</t>
  </si>
  <si>
    <t>Last 3 Days</t>
  </si>
  <si>
    <t>Habit  1</t>
  </si>
  <si>
    <t>Habit 2</t>
  </si>
  <si>
    <t>Habit 3</t>
  </si>
  <si>
    <t>Habit 4</t>
  </si>
  <si>
    <t>So on…</t>
  </si>
  <si>
    <t>Habit  5</t>
  </si>
  <si>
    <t>Habit  6</t>
  </si>
  <si>
    <t>Number of Habits</t>
  </si>
  <si>
    <t>JANUARY</t>
  </si>
  <si>
    <t>Number of Habits Completed</t>
  </si>
  <si>
    <t>Analysis</t>
  </si>
  <si>
    <t>Goal</t>
  </si>
  <si>
    <t>Actual</t>
  </si>
  <si>
    <t>Progress</t>
  </si>
  <si>
    <t>Progress in %</t>
  </si>
  <si>
    <t>May</t>
  </si>
  <si>
    <t>Home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</si>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</sst>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6"/>
      <color theme="0"/>
      <name val="Cascadia Mono SemiBold"/>
      <family val="3"/>
    </font>
    <font>
      <sz val="8"/>
      <name val="Aptos Narrow"/>
      <family val="2"/>
      <scheme val="minor"/>
    </font>
    <font>
      <b/>
      <sz val="28"/>
      <color theme="0"/>
      <name val="Rockwell"/>
      <family val="1"/>
    </font>
    <font>
      <b/>
      <sz val="11"/>
      <color theme="0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0"/>
      <name val="Cascadia Mono SemiBold"/>
      <family val="3"/>
    </font>
    <font>
      <sz val="11"/>
      <color theme="0"/>
      <name val="Aharoni"/>
      <charset val="177"/>
    </font>
    <font>
      <u/>
      <sz val="11"/>
      <color theme="10"/>
      <name val="Aptos Narrow"/>
      <family val="2"/>
      <scheme val="minor"/>
    </font>
    <font>
      <b/>
      <sz val="12"/>
      <color theme="0"/>
      <name val="Aharoni"/>
      <charset val="177"/>
    </font>
    <font>
      <b/>
      <sz val="18"/>
      <color theme="1"/>
      <name val="Aptos Narrow"/>
      <family val="2"/>
      <scheme val="minor"/>
    </font>
    <font>
      <b/>
      <i/>
      <u/>
      <sz val="12"/>
      <color theme="0" tint="-4.9989318521683403E-2"/>
      <name val="Century Gothic"/>
      <family val="2"/>
    </font>
    <font>
      <b/>
      <i/>
      <sz val="12"/>
      <color theme="0" tint="-4.9989318521683403E-2"/>
      <name val="Century Gothic"/>
      <family val="2"/>
    </font>
    <font>
      <b/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611111"/>
        <bgColor indexed="64"/>
      </patternFill>
    </fill>
    <fill>
      <patternFill patternType="solid">
        <fgColor rgb="FFFBD7D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39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3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10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1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4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6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5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1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3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0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1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4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5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2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2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/>
    <xf numFmtId="0" fontId="0" fillId="0" borderId="1" xfId="0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/>
    <xf numFmtId="0" fontId="3" fillId="3" borderId="10" xfId="0" applyFont="1" applyFill="1" applyBorder="1"/>
    <xf numFmtId="0" fontId="7" fillId="3" borderId="10" xfId="0" applyFont="1" applyFill="1" applyBorder="1" applyAlignment="1">
      <alignment horizontal="center" vertical="center"/>
    </xf>
    <xf numFmtId="0" fontId="0" fillId="3" borderId="10" xfId="0" applyFill="1" applyBorder="1"/>
    <xf numFmtId="0" fontId="3" fillId="3" borderId="11" xfId="0" applyFont="1" applyFill="1" applyBorder="1"/>
    <xf numFmtId="0" fontId="3" fillId="3" borderId="5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 vertical="top"/>
    </xf>
    <xf numFmtId="0" fontId="0" fillId="3" borderId="2" xfId="0" applyFill="1" applyBorder="1"/>
    <xf numFmtId="9" fontId="3" fillId="3" borderId="2" xfId="1" applyFont="1" applyFill="1" applyBorder="1" applyAlignment="1">
      <alignment horizontal="center" vertical="center"/>
    </xf>
    <xf numFmtId="0" fontId="3" fillId="3" borderId="12" xfId="0" applyFont="1" applyFill="1" applyBorder="1"/>
    <xf numFmtId="0" fontId="11" fillId="2" borderId="0" xfId="0" applyFont="1" applyFill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4" fillId="2" borderId="0" xfId="2" applyFont="1" applyFill="1" applyAlignment="1">
      <alignment horizontal="center" vertical="center"/>
    </xf>
    <xf numFmtId="0" fontId="12" fillId="5" borderId="0" xfId="2" applyFont="1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Fill="1" applyBorder="1"/>
    <xf numFmtId="0" fontId="0" fillId="0" borderId="0" xfId="0" applyFill="1" applyBorder="1"/>
    <xf numFmtId="0" fontId="15" fillId="4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3" fillId="7" borderId="3" xfId="0" applyFont="1" applyFill="1" applyBorder="1"/>
    <xf numFmtId="0" fontId="6" fillId="7" borderId="10" xfId="0" applyFont="1" applyFill="1" applyBorder="1" applyAlignment="1">
      <alignment horizontal="center" vertical="center"/>
    </xf>
    <xf numFmtId="0" fontId="3" fillId="7" borderId="10" xfId="0" applyFont="1" applyFill="1" applyBorder="1"/>
    <xf numFmtId="0" fontId="7" fillId="7" borderId="10" xfId="0" applyFont="1" applyFill="1" applyBorder="1" applyAlignment="1">
      <alignment horizontal="center" vertical="center"/>
    </xf>
    <xf numFmtId="0" fontId="0" fillId="7" borderId="10" xfId="0" applyFill="1" applyBorder="1"/>
    <xf numFmtId="0" fontId="3" fillId="7" borderId="11" xfId="0" applyFont="1" applyFill="1" applyBorder="1"/>
    <xf numFmtId="0" fontId="3" fillId="7" borderId="5" xfId="0" applyFont="1" applyFill="1" applyBorder="1"/>
    <xf numFmtId="0" fontId="6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2" xfId="0" applyFont="1" applyFill="1" applyBorder="1" applyAlignment="1">
      <alignment horizontal="center" vertical="top"/>
    </xf>
    <xf numFmtId="0" fontId="0" fillId="7" borderId="2" xfId="0" applyFill="1" applyBorder="1"/>
    <xf numFmtId="0" fontId="3" fillId="7" borderId="2" xfId="0" applyFont="1" applyFill="1" applyBorder="1" applyAlignment="1">
      <alignment horizontal="center" vertical="center"/>
    </xf>
    <xf numFmtId="9" fontId="3" fillId="7" borderId="2" xfId="1" applyFont="1" applyFill="1" applyBorder="1" applyAlignment="1">
      <alignment horizontal="center" vertical="center"/>
    </xf>
    <xf numFmtId="0" fontId="3" fillId="7" borderId="12" xfId="0" applyFont="1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10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1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4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0" xfId="0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6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5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1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8" borderId="3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0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1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4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6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5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2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2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8" borderId="7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3" fillId="9" borderId="3" xfId="0" applyFont="1" applyFill="1" applyBorder="1"/>
    <xf numFmtId="0" fontId="6" fillId="9" borderId="10" xfId="0" applyFont="1" applyFill="1" applyBorder="1" applyAlignment="1">
      <alignment horizontal="center" vertical="center"/>
    </xf>
    <xf numFmtId="0" fontId="3" fillId="9" borderId="10" xfId="0" applyFont="1" applyFill="1" applyBorder="1"/>
    <xf numFmtId="0" fontId="7" fillId="9" borderId="10" xfId="0" applyFont="1" applyFill="1" applyBorder="1" applyAlignment="1">
      <alignment horizontal="center" vertical="center"/>
    </xf>
    <xf numFmtId="0" fontId="0" fillId="9" borderId="10" xfId="0" applyFill="1" applyBorder="1"/>
    <xf numFmtId="0" fontId="3" fillId="9" borderId="11" xfId="0" applyFont="1" applyFill="1" applyBorder="1"/>
    <xf numFmtId="0" fontId="3" fillId="9" borderId="5" xfId="0" applyFont="1" applyFill="1" applyBorder="1"/>
    <xf numFmtId="0" fontId="6" fillId="9" borderId="2" xfId="0" applyFont="1" applyFill="1" applyBorder="1" applyAlignment="1">
      <alignment horizontal="center" vertical="center"/>
    </xf>
    <xf numFmtId="0" fontId="3" fillId="9" borderId="2" xfId="0" applyFont="1" applyFill="1" applyBorder="1"/>
    <xf numFmtId="0" fontId="3" fillId="9" borderId="2" xfId="0" applyFont="1" applyFill="1" applyBorder="1" applyAlignment="1">
      <alignment horizontal="center" vertical="top"/>
    </xf>
    <xf numFmtId="0" fontId="0" fillId="9" borderId="2" xfId="0" applyFill="1" applyBorder="1"/>
    <xf numFmtId="0" fontId="3" fillId="9" borderId="2" xfId="0" applyFont="1" applyFill="1" applyBorder="1" applyAlignment="1">
      <alignment horizontal="center" vertical="center"/>
    </xf>
    <xf numFmtId="9" fontId="3" fillId="9" borderId="2" xfId="1" applyFont="1" applyFill="1" applyBorder="1" applyAlignment="1">
      <alignment horizontal="center" vertical="center"/>
    </xf>
    <xf numFmtId="0" fontId="3" fillId="9" borderId="12" xfId="0" applyFont="1" applyFill="1" applyBorder="1"/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9" borderId="10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9" borderId="1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9" borderId="4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9" borderId="0" xfId="0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9" borderId="6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9" borderId="5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9" borderId="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9" borderId="1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10" borderId="1" xfId="0" applyFont="1" applyFill="1" applyBorder="1" applyAlignment="1">
      <alignment horizontal="center" vertical="center"/>
    </xf>
    <xf numFmtId="0" fontId="0" fillId="10" borderId="7" xfId="0" applyFill="1" applyBorder="1" applyAlignment="1">
      <alignment vertical="center"/>
    </xf>
    <xf numFmtId="0" fontId="0" fillId="10" borderId="8" xfId="0" applyFill="1" applyBorder="1" applyAlignment="1">
      <alignment vertical="center"/>
    </xf>
    <xf numFmtId="0" fontId="0" fillId="10" borderId="9" xfId="0" applyFill="1" applyBorder="1" applyAlignment="1">
      <alignment vertical="center"/>
    </xf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0" borderId="3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10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11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4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6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5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2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12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BD7D7"/>
      <color rgb="FF61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6375-0F2F-4F06-9FDB-7B5BD7FAF4A3}">
  <dimension ref="A1:AL43"/>
  <sheetViews>
    <sheetView showGridLines="0" tabSelected="1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K5" sqref="K5"/>
    </sheetView>
  </sheetViews>
  <sheetFormatPr defaultRowHeight="22.5" customHeight="1" x14ac:dyDescent="0.25"/>
  <cols>
    <col min="1" max="1" width="12" style="22" customWidth="1"/>
    <col min="3" max="3" width="19.42578125" customWidth="1"/>
    <col min="4" max="34" width="6.7109375" customWidth="1"/>
    <col min="38" max="38" width="12.28515625" customWidth="1"/>
  </cols>
  <sheetData>
    <row r="1" spans="1:38" s="3" customFormat="1" ht="51" x14ac:dyDescent="0.25">
      <c r="A1" s="38" t="s">
        <v>30</v>
      </c>
      <c r="B1" s="3" t="s">
        <v>0</v>
      </c>
      <c r="L1" s="49" t="s">
        <v>31</v>
      </c>
      <c r="M1" s="49" t="s">
        <v>32</v>
      </c>
      <c r="N1" s="49" t="s">
        <v>33</v>
      </c>
      <c r="O1" s="50" t="s">
        <v>34</v>
      </c>
      <c r="P1" s="50" t="s">
        <v>29</v>
      </c>
      <c r="Q1" s="50" t="s">
        <v>35</v>
      </c>
      <c r="R1" s="50" t="s">
        <v>36</v>
      </c>
      <c r="S1" s="50" t="s">
        <v>37</v>
      </c>
      <c r="T1" s="50" t="s">
        <v>38</v>
      </c>
      <c r="U1" s="50" t="s">
        <v>39</v>
      </c>
      <c r="V1" s="50" t="s">
        <v>40</v>
      </c>
      <c r="W1" s="50" t="s">
        <v>41</v>
      </c>
      <c r="X1" s="36"/>
      <c r="Y1" s="36"/>
      <c r="Z1" s="49" t="s">
        <v>41</v>
      </c>
    </row>
    <row r="2" spans="1:38" ht="15" x14ac:dyDescent="0.25"/>
    <row r="3" spans="1:38" ht="22.5" customHeight="1" x14ac:dyDescent="0.25">
      <c r="A3" s="39"/>
      <c r="C3" s="25"/>
      <c r="D3" s="40" t="s">
        <v>22</v>
      </c>
      <c r="E3" s="40"/>
      <c r="F3" s="40"/>
      <c r="G3" s="40"/>
      <c r="H3" s="40"/>
      <c r="I3" s="40"/>
      <c r="J3" s="40"/>
      <c r="K3" s="26"/>
      <c r="L3" s="26"/>
      <c r="M3" s="26"/>
      <c r="N3" s="27" t="s">
        <v>21</v>
      </c>
      <c r="O3" s="26"/>
      <c r="P3" s="26"/>
      <c r="Q3" s="26"/>
      <c r="R3" s="26"/>
      <c r="S3" s="27" t="s">
        <v>23</v>
      </c>
      <c r="T3" s="26"/>
      <c r="U3" s="28"/>
      <c r="V3" s="26"/>
      <c r="W3" s="26"/>
      <c r="X3" s="27" t="s">
        <v>27</v>
      </c>
      <c r="Y3" s="26"/>
      <c r="Z3" s="26"/>
      <c r="AA3" s="26"/>
      <c r="AB3" s="27" t="s">
        <v>28</v>
      </c>
      <c r="AC3" s="26"/>
      <c r="AD3" s="26"/>
      <c r="AE3" s="26"/>
      <c r="AF3" s="26"/>
      <c r="AG3" s="26"/>
      <c r="AH3" s="29"/>
    </row>
    <row r="4" spans="1:38" ht="22.5" customHeight="1" x14ac:dyDescent="0.25">
      <c r="A4" s="37"/>
      <c r="C4" s="30"/>
      <c r="D4" s="41"/>
      <c r="E4" s="41"/>
      <c r="F4" s="41"/>
      <c r="G4" s="41"/>
      <c r="H4" s="41"/>
      <c r="I4" s="41"/>
      <c r="J4" s="41"/>
      <c r="K4" s="31"/>
      <c r="L4" s="31"/>
      <c r="M4" s="31"/>
      <c r="N4" s="32">
        <f>COUNTA(C9:C15)</f>
        <v>7</v>
      </c>
      <c r="O4" s="31"/>
      <c r="P4" s="31"/>
      <c r="Q4" s="31"/>
      <c r="R4" s="31"/>
      <c r="S4" s="32">
        <f>COUNTIF(D9:AH15,TRUE)</f>
        <v>0</v>
      </c>
      <c r="T4" s="31"/>
      <c r="U4" s="33"/>
      <c r="V4" s="31"/>
      <c r="W4" s="43">
        <f>COUNTIF(D9:AH15, TRUE)/(COUNTA(D8:AH8)*COUNTA(C9:C15))</f>
        <v>0</v>
      </c>
      <c r="X4" s="43"/>
      <c r="Y4" s="43"/>
      <c r="Z4" s="31"/>
      <c r="AA4" s="31"/>
      <c r="AB4" s="34">
        <f>COUNTIF(D9:AH15, TRUE)/(COUNTA(D8:AH8)*COUNTA(C9:C15))</f>
        <v>0</v>
      </c>
      <c r="AC4" s="31"/>
      <c r="AD4" s="31"/>
      <c r="AE4" s="31"/>
      <c r="AF4" s="31"/>
      <c r="AG4" s="31"/>
      <c r="AH4" s="35"/>
    </row>
    <row r="5" spans="1:38" ht="22.5" customHeight="1" x14ac:dyDescent="0.25">
      <c r="A5" s="37"/>
    </row>
    <row r="6" spans="1:38" ht="22.5" customHeight="1" x14ac:dyDescent="0.25">
      <c r="A6" s="37"/>
      <c r="C6" s="48" t="s">
        <v>1</v>
      </c>
      <c r="D6" s="44" t="s">
        <v>9</v>
      </c>
      <c r="E6" s="44"/>
      <c r="F6" s="44"/>
      <c r="G6" s="44"/>
      <c r="H6" s="44"/>
      <c r="I6" s="44"/>
      <c r="J6" s="44"/>
      <c r="K6" s="45" t="s">
        <v>10</v>
      </c>
      <c r="L6" s="45"/>
      <c r="M6" s="45"/>
      <c r="N6" s="45"/>
      <c r="O6" s="45"/>
      <c r="P6" s="45"/>
      <c r="Q6" s="45"/>
      <c r="R6" s="44" t="s">
        <v>11</v>
      </c>
      <c r="S6" s="44"/>
      <c r="T6" s="44"/>
      <c r="U6" s="44"/>
      <c r="V6" s="44"/>
      <c r="W6" s="44"/>
      <c r="X6" s="44"/>
      <c r="Y6" s="45" t="s">
        <v>12</v>
      </c>
      <c r="Z6" s="45"/>
      <c r="AA6" s="45"/>
      <c r="AB6" s="45"/>
      <c r="AC6" s="45"/>
      <c r="AD6" s="45"/>
      <c r="AE6" s="45"/>
      <c r="AF6" s="44" t="s">
        <v>13</v>
      </c>
      <c r="AG6" s="44"/>
      <c r="AH6" s="44"/>
      <c r="AJ6" s="42" t="s">
        <v>24</v>
      </c>
      <c r="AK6" s="42"/>
      <c r="AL6" s="42"/>
    </row>
    <row r="7" spans="1:38" ht="22.5" customHeight="1" x14ac:dyDescent="0.25">
      <c r="A7" s="37"/>
      <c r="C7" s="48"/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2" t="s">
        <v>2</v>
      </c>
      <c r="L7" s="2" t="s">
        <v>3</v>
      </c>
      <c r="M7" s="2" t="s">
        <v>4</v>
      </c>
      <c r="N7" s="2" t="s">
        <v>5</v>
      </c>
      <c r="O7" s="2" t="s">
        <v>6</v>
      </c>
      <c r="P7" s="2" t="s">
        <v>7</v>
      </c>
      <c r="Q7" s="2" t="s">
        <v>8</v>
      </c>
      <c r="R7" s="1" t="s">
        <v>2</v>
      </c>
      <c r="S7" s="1" t="s">
        <v>3</v>
      </c>
      <c r="T7" s="1" t="s">
        <v>4</v>
      </c>
      <c r="U7" s="1" t="s">
        <v>5</v>
      </c>
      <c r="V7" s="1" t="s">
        <v>6</v>
      </c>
      <c r="W7" s="1" t="s">
        <v>7</v>
      </c>
      <c r="X7" s="1" t="s">
        <v>8</v>
      </c>
      <c r="Y7" s="2" t="s">
        <v>2</v>
      </c>
      <c r="Z7" s="2" t="s">
        <v>3</v>
      </c>
      <c r="AA7" s="2" t="s">
        <v>4</v>
      </c>
      <c r="AB7" s="2" t="s">
        <v>5</v>
      </c>
      <c r="AC7" s="2" t="s">
        <v>6</v>
      </c>
      <c r="AD7" s="2" t="s">
        <v>7</v>
      </c>
      <c r="AE7" s="2" t="s">
        <v>8</v>
      </c>
      <c r="AF7" s="1" t="s">
        <v>2</v>
      </c>
      <c r="AG7" s="1" t="s">
        <v>3</v>
      </c>
      <c r="AH7" s="1" t="s">
        <v>4</v>
      </c>
      <c r="AJ7" s="42"/>
      <c r="AK7" s="42"/>
      <c r="AL7" s="42"/>
    </row>
    <row r="8" spans="1:38" ht="22.5" customHeight="1" x14ac:dyDescent="0.25">
      <c r="A8" s="37"/>
      <c r="C8" s="48"/>
      <c r="D8" s="1">
        <v>1</v>
      </c>
      <c r="E8" s="1">
        <v>2</v>
      </c>
      <c r="F8" s="1">
        <v>3</v>
      </c>
      <c r="G8" s="1">
        <v>4</v>
      </c>
      <c r="H8" s="1">
        <v>5</v>
      </c>
      <c r="I8" s="1">
        <v>6</v>
      </c>
      <c r="J8" s="1">
        <v>7</v>
      </c>
      <c r="K8" s="2">
        <v>8</v>
      </c>
      <c r="L8" s="2">
        <v>9</v>
      </c>
      <c r="M8" s="2">
        <v>10</v>
      </c>
      <c r="N8" s="2">
        <v>11</v>
      </c>
      <c r="O8" s="2">
        <v>12</v>
      </c>
      <c r="P8" s="2">
        <v>13</v>
      </c>
      <c r="Q8" s="2">
        <v>14</v>
      </c>
      <c r="R8" s="1">
        <v>15</v>
      </c>
      <c r="S8" s="1">
        <v>16</v>
      </c>
      <c r="T8" s="1">
        <v>17</v>
      </c>
      <c r="U8" s="1">
        <v>18</v>
      </c>
      <c r="V8" s="1">
        <v>19</v>
      </c>
      <c r="W8" s="1">
        <v>20</v>
      </c>
      <c r="X8" s="1">
        <v>21</v>
      </c>
      <c r="Y8" s="2">
        <v>22</v>
      </c>
      <c r="Z8" s="2">
        <v>23</v>
      </c>
      <c r="AA8" s="2">
        <v>24</v>
      </c>
      <c r="AB8" s="2">
        <v>25</v>
      </c>
      <c r="AC8" s="2">
        <v>26</v>
      </c>
      <c r="AD8" s="2">
        <v>27</v>
      </c>
      <c r="AE8" s="2">
        <v>28</v>
      </c>
      <c r="AF8" s="1">
        <v>29</v>
      </c>
      <c r="AG8" s="1">
        <v>30</v>
      </c>
      <c r="AH8" s="1">
        <v>31</v>
      </c>
      <c r="AJ8" s="89" t="s">
        <v>25</v>
      </c>
      <c r="AK8" s="89" t="s">
        <v>26</v>
      </c>
      <c r="AL8" s="89" t="s">
        <v>27</v>
      </c>
    </row>
    <row r="9" spans="1:38" ht="22.5" customHeight="1" x14ac:dyDescent="0.25">
      <c r="A9" s="37"/>
      <c r="C9" s="91" t="s">
        <v>14</v>
      </c>
      <c r="D9" s="5" t="b">
        <v>0</v>
      </c>
      <c r="E9" s="6" t="b">
        <v>0</v>
      </c>
      <c r="F9" s="6" t="b">
        <v>0</v>
      </c>
      <c r="G9" s="6" t="b">
        <v>0</v>
      </c>
      <c r="H9" s="6" t="b">
        <v>0</v>
      </c>
      <c r="I9" s="6" t="b">
        <v>0</v>
      </c>
      <c r="J9" s="7" t="b">
        <v>0</v>
      </c>
      <c r="K9" s="13" t="b">
        <v>0</v>
      </c>
      <c r="L9" s="14" t="b">
        <v>0</v>
      </c>
      <c r="M9" s="14" t="b">
        <v>0</v>
      </c>
      <c r="N9" s="14" t="b">
        <v>0</v>
      </c>
      <c r="O9" s="14" t="b">
        <v>0</v>
      </c>
      <c r="P9" s="14" t="b">
        <v>0</v>
      </c>
      <c r="Q9" s="15" t="b">
        <v>0</v>
      </c>
      <c r="R9" s="5" t="b">
        <v>0</v>
      </c>
      <c r="S9" s="6" t="b">
        <v>0</v>
      </c>
      <c r="T9" s="6" t="b">
        <v>0</v>
      </c>
      <c r="U9" s="6" t="b">
        <v>0</v>
      </c>
      <c r="V9" s="6" t="b">
        <v>0</v>
      </c>
      <c r="W9" s="6" t="b">
        <v>0</v>
      </c>
      <c r="X9" s="7" t="b">
        <v>0</v>
      </c>
      <c r="Y9" s="13" t="b">
        <v>0</v>
      </c>
      <c r="Z9" s="14" t="b">
        <v>0</v>
      </c>
      <c r="AA9" s="14" t="b">
        <v>0</v>
      </c>
      <c r="AB9" s="14" t="b">
        <v>0</v>
      </c>
      <c r="AC9" s="14" t="b">
        <v>0</v>
      </c>
      <c r="AD9" s="14" t="b">
        <v>0</v>
      </c>
      <c r="AE9" s="15" t="b">
        <v>0</v>
      </c>
      <c r="AF9" s="4" t="b">
        <v>0</v>
      </c>
      <c r="AG9" s="4" t="b">
        <v>0</v>
      </c>
      <c r="AH9" s="4" t="b">
        <v>0</v>
      </c>
      <c r="AJ9" s="23">
        <f>COUNTA($D$8:$AH$8)</f>
        <v>31</v>
      </c>
      <c r="AK9" s="23">
        <f>COUNTIF(D9:AH9, TRUE)</f>
        <v>0</v>
      </c>
      <c r="AL9" s="24">
        <f>AK9/AJ9</f>
        <v>0</v>
      </c>
    </row>
    <row r="10" spans="1:38" ht="22.5" customHeight="1" x14ac:dyDescent="0.25">
      <c r="A10" s="37"/>
      <c r="C10" s="92" t="s">
        <v>15</v>
      </c>
      <c r="D10" s="8" t="b">
        <v>0</v>
      </c>
      <c r="E10" s="4" t="b">
        <v>0</v>
      </c>
      <c r="F10" s="4" t="b">
        <v>0</v>
      </c>
      <c r="G10" s="4" t="b">
        <v>0</v>
      </c>
      <c r="H10" s="4" t="b">
        <v>0</v>
      </c>
      <c r="I10" s="4" t="b">
        <v>0</v>
      </c>
      <c r="J10" s="9" t="b">
        <v>0</v>
      </c>
      <c r="K10" s="16" t="b">
        <v>0</v>
      </c>
      <c r="L10" s="17" t="b">
        <v>0</v>
      </c>
      <c r="M10" s="17" t="b">
        <v>0</v>
      </c>
      <c r="N10" s="17" t="b">
        <v>0</v>
      </c>
      <c r="O10" s="17" t="b">
        <v>0</v>
      </c>
      <c r="P10" s="17" t="b">
        <v>0</v>
      </c>
      <c r="Q10" s="18" t="b">
        <v>0</v>
      </c>
      <c r="R10" s="8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9" t="b">
        <v>0</v>
      </c>
      <c r="Y10" s="16" t="b">
        <v>0</v>
      </c>
      <c r="Z10" s="17" t="b">
        <v>0</v>
      </c>
      <c r="AA10" s="17" t="b">
        <v>0</v>
      </c>
      <c r="AB10" s="17" t="b">
        <v>0</v>
      </c>
      <c r="AC10" s="17" t="b">
        <v>0</v>
      </c>
      <c r="AD10" s="17" t="b">
        <v>0</v>
      </c>
      <c r="AE10" s="18" t="b">
        <v>0</v>
      </c>
      <c r="AF10" s="4" t="b">
        <v>0</v>
      </c>
      <c r="AG10" s="4" t="b">
        <v>0</v>
      </c>
      <c r="AH10" s="4" t="b">
        <v>0</v>
      </c>
      <c r="AJ10" s="23">
        <f t="shared" ref="AJ10:AJ15" si="0">COUNTA($D$8:$AH$8)</f>
        <v>31</v>
      </c>
      <c r="AK10" s="23">
        <f t="shared" ref="AK10:AK15" si="1">COUNTIF(D10:AH10, TRUE)</f>
        <v>0</v>
      </c>
      <c r="AL10" s="24">
        <f t="shared" ref="AL10:AL15" si="2">AK10/AJ10</f>
        <v>0</v>
      </c>
    </row>
    <row r="11" spans="1:38" ht="22.5" customHeight="1" x14ac:dyDescent="0.25">
      <c r="A11" s="37"/>
      <c r="C11" s="92" t="s">
        <v>16</v>
      </c>
      <c r="D11" s="8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4" t="b">
        <v>0</v>
      </c>
      <c r="J11" s="9" t="b">
        <v>0</v>
      </c>
      <c r="K11" s="16" t="b">
        <v>0</v>
      </c>
      <c r="L11" s="17" t="b">
        <v>0</v>
      </c>
      <c r="M11" s="17" t="b">
        <v>0</v>
      </c>
      <c r="N11" s="17" t="b">
        <v>0</v>
      </c>
      <c r="O11" s="17" t="b">
        <v>0</v>
      </c>
      <c r="P11" s="17" t="b">
        <v>0</v>
      </c>
      <c r="Q11" s="18" t="b">
        <v>0</v>
      </c>
      <c r="R11" s="8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9" t="b">
        <v>0</v>
      </c>
      <c r="Y11" s="16" t="b">
        <v>0</v>
      </c>
      <c r="Z11" s="17" t="b">
        <v>0</v>
      </c>
      <c r="AA11" s="17" t="b">
        <v>0</v>
      </c>
      <c r="AB11" s="17" t="b">
        <v>0</v>
      </c>
      <c r="AC11" s="17" t="b">
        <v>0</v>
      </c>
      <c r="AD11" s="17" t="b">
        <v>0</v>
      </c>
      <c r="AE11" s="18" t="b">
        <v>0</v>
      </c>
      <c r="AF11" s="4" t="b">
        <v>0</v>
      </c>
      <c r="AG11" s="4" t="b">
        <v>0</v>
      </c>
      <c r="AH11" s="4" t="b">
        <v>0</v>
      </c>
      <c r="AJ11" s="23">
        <f t="shared" si="0"/>
        <v>31</v>
      </c>
      <c r="AK11" s="23">
        <f t="shared" si="1"/>
        <v>0</v>
      </c>
      <c r="AL11" s="24">
        <f t="shared" si="2"/>
        <v>0</v>
      </c>
    </row>
    <row r="12" spans="1:38" ht="22.5" customHeight="1" x14ac:dyDescent="0.25">
      <c r="A12" s="37"/>
      <c r="C12" s="92" t="s">
        <v>17</v>
      </c>
      <c r="D12" s="8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9" t="b">
        <v>0</v>
      </c>
      <c r="K12" s="16" t="b">
        <v>0</v>
      </c>
      <c r="L12" s="17" t="b">
        <v>0</v>
      </c>
      <c r="M12" s="17" t="b">
        <v>0</v>
      </c>
      <c r="N12" s="17" t="b">
        <v>0</v>
      </c>
      <c r="O12" s="17" t="b">
        <v>0</v>
      </c>
      <c r="P12" s="17" t="b">
        <v>0</v>
      </c>
      <c r="Q12" s="18" t="b">
        <v>0</v>
      </c>
      <c r="R12" s="8" t="b">
        <v>0</v>
      </c>
      <c r="S12" s="4" t="b">
        <v>0</v>
      </c>
      <c r="T12" s="4" t="b">
        <v>0</v>
      </c>
      <c r="U12" s="4" t="b">
        <v>0</v>
      </c>
      <c r="V12" s="4" t="b">
        <v>0</v>
      </c>
      <c r="W12" s="4" t="b">
        <v>0</v>
      </c>
      <c r="X12" s="9" t="b">
        <v>0</v>
      </c>
      <c r="Y12" s="16" t="b">
        <v>0</v>
      </c>
      <c r="Z12" s="17" t="b">
        <v>0</v>
      </c>
      <c r="AA12" s="17" t="b">
        <v>0</v>
      </c>
      <c r="AB12" s="17" t="b">
        <v>0</v>
      </c>
      <c r="AC12" s="17" t="b">
        <v>0</v>
      </c>
      <c r="AD12" s="17" t="b">
        <v>0</v>
      </c>
      <c r="AE12" s="18" t="b">
        <v>0</v>
      </c>
      <c r="AF12" s="4" t="b">
        <v>0</v>
      </c>
      <c r="AG12" s="4" t="b">
        <v>0</v>
      </c>
      <c r="AH12" s="4" t="b">
        <v>0</v>
      </c>
      <c r="AJ12" s="23">
        <f t="shared" si="0"/>
        <v>31</v>
      </c>
      <c r="AK12" s="23">
        <f t="shared" si="1"/>
        <v>0</v>
      </c>
      <c r="AL12" s="24">
        <f t="shared" si="2"/>
        <v>0</v>
      </c>
    </row>
    <row r="13" spans="1:38" ht="22.5" customHeight="1" x14ac:dyDescent="0.25">
      <c r="A13" s="37"/>
      <c r="C13" s="92" t="s">
        <v>19</v>
      </c>
      <c r="D13" s="8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I13" s="4" t="b">
        <v>0</v>
      </c>
      <c r="J13" s="9" t="b">
        <v>0</v>
      </c>
      <c r="K13" s="16" t="b">
        <v>0</v>
      </c>
      <c r="L13" s="17" t="b">
        <v>0</v>
      </c>
      <c r="M13" s="17" t="b">
        <v>0</v>
      </c>
      <c r="N13" s="17" t="b">
        <v>0</v>
      </c>
      <c r="O13" s="17" t="b">
        <v>0</v>
      </c>
      <c r="P13" s="17" t="b">
        <v>0</v>
      </c>
      <c r="Q13" s="18" t="b">
        <v>0</v>
      </c>
      <c r="R13" s="8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9" t="b">
        <v>0</v>
      </c>
      <c r="Y13" s="16" t="b">
        <v>0</v>
      </c>
      <c r="Z13" s="17" t="b">
        <v>0</v>
      </c>
      <c r="AA13" s="17" t="b">
        <v>0</v>
      </c>
      <c r="AB13" s="17" t="b">
        <v>0</v>
      </c>
      <c r="AC13" s="17" t="b">
        <v>0</v>
      </c>
      <c r="AD13" s="17" t="b">
        <v>0</v>
      </c>
      <c r="AE13" s="18" t="b">
        <v>0</v>
      </c>
      <c r="AF13" s="4" t="b">
        <v>0</v>
      </c>
      <c r="AG13" s="4" t="b">
        <v>0</v>
      </c>
      <c r="AH13" s="4" t="b">
        <v>0</v>
      </c>
      <c r="AJ13" s="23">
        <f t="shared" si="0"/>
        <v>31</v>
      </c>
      <c r="AK13" s="23">
        <f t="shared" si="1"/>
        <v>0</v>
      </c>
      <c r="AL13" s="24">
        <f t="shared" si="2"/>
        <v>0</v>
      </c>
    </row>
    <row r="14" spans="1:38" ht="22.5" customHeight="1" x14ac:dyDescent="0.25">
      <c r="A14" s="37"/>
      <c r="C14" s="92" t="s">
        <v>20</v>
      </c>
      <c r="D14" s="8" t="b">
        <v>0</v>
      </c>
      <c r="E14" s="4" t="b">
        <v>0</v>
      </c>
      <c r="F14" s="4" t="b">
        <v>0</v>
      </c>
      <c r="G14" s="4" t="b">
        <v>0</v>
      </c>
      <c r="H14" s="4" t="b">
        <v>0</v>
      </c>
      <c r="I14" s="4" t="b">
        <v>0</v>
      </c>
      <c r="J14" s="9" t="b">
        <v>0</v>
      </c>
      <c r="K14" s="16" t="b">
        <v>0</v>
      </c>
      <c r="L14" s="17" t="b">
        <v>0</v>
      </c>
      <c r="M14" s="17" t="b">
        <v>0</v>
      </c>
      <c r="N14" s="17" t="b">
        <v>0</v>
      </c>
      <c r="O14" s="17" t="b">
        <v>0</v>
      </c>
      <c r="P14" s="17" t="b">
        <v>0</v>
      </c>
      <c r="Q14" s="18" t="b">
        <v>0</v>
      </c>
      <c r="R14" s="8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9" t="b">
        <v>0</v>
      </c>
      <c r="Y14" s="16" t="b">
        <v>0</v>
      </c>
      <c r="Z14" s="17" t="b">
        <v>0</v>
      </c>
      <c r="AA14" s="17" t="b">
        <v>0</v>
      </c>
      <c r="AB14" s="17" t="b">
        <v>0</v>
      </c>
      <c r="AC14" s="17" t="b">
        <v>0</v>
      </c>
      <c r="AD14" s="17" t="b">
        <v>0</v>
      </c>
      <c r="AE14" s="18" t="b">
        <v>0</v>
      </c>
      <c r="AF14" s="4" t="b">
        <v>0</v>
      </c>
      <c r="AG14" s="4" t="b">
        <v>0</v>
      </c>
      <c r="AH14" s="4" t="b">
        <v>0</v>
      </c>
      <c r="AJ14" s="23">
        <f t="shared" si="0"/>
        <v>31</v>
      </c>
      <c r="AK14" s="23">
        <f t="shared" si="1"/>
        <v>0</v>
      </c>
      <c r="AL14" s="24">
        <f t="shared" si="2"/>
        <v>0</v>
      </c>
    </row>
    <row r="15" spans="1:38" ht="22.5" customHeight="1" x14ac:dyDescent="0.25">
      <c r="C15" s="93" t="s">
        <v>18</v>
      </c>
      <c r="D15" s="10" t="b">
        <v>0</v>
      </c>
      <c r="E15" s="11" t="b">
        <v>0</v>
      </c>
      <c r="F15" s="11" t="b">
        <v>0</v>
      </c>
      <c r="G15" s="11" t="b">
        <v>0</v>
      </c>
      <c r="H15" s="11" t="b">
        <v>0</v>
      </c>
      <c r="I15" s="11" t="b">
        <v>0</v>
      </c>
      <c r="J15" s="12" t="b">
        <v>0</v>
      </c>
      <c r="K15" s="19" t="b">
        <v>0</v>
      </c>
      <c r="L15" s="20" t="b">
        <v>0</v>
      </c>
      <c r="M15" s="20" t="b">
        <v>0</v>
      </c>
      <c r="N15" s="20" t="b">
        <v>0</v>
      </c>
      <c r="O15" s="20" t="b">
        <v>0</v>
      </c>
      <c r="P15" s="20" t="b">
        <v>0</v>
      </c>
      <c r="Q15" s="21" t="b">
        <v>0</v>
      </c>
      <c r="R15" s="10" t="b">
        <v>0</v>
      </c>
      <c r="S15" s="11" t="b">
        <v>0</v>
      </c>
      <c r="T15" s="11" t="b">
        <v>0</v>
      </c>
      <c r="U15" s="11" t="b">
        <v>0</v>
      </c>
      <c r="V15" s="11" t="b">
        <v>0</v>
      </c>
      <c r="W15" s="11" t="b">
        <v>0</v>
      </c>
      <c r="X15" s="12" t="b">
        <v>0</v>
      </c>
      <c r="Y15" s="19" t="b">
        <v>0</v>
      </c>
      <c r="Z15" s="20" t="b">
        <v>0</v>
      </c>
      <c r="AA15" s="20" t="b">
        <v>0</v>
      </c>
      <c r="AB15" s="20" t="b">
        <v>0</v>
      </c>
      <c r="AC15" s="20" t="b">
        <v>0</v>
      </c>
      <c r="AD15" s="20" t="b">
        <v>0</v>
      </c>
      <c r="AE15" s="21" t="b">
        <v>0</v>
      </c>
      <c r="AF15" s="4" t="b">
        <v>0</v>
      </c>
      <c r="AG15" s="4" t="b">
        <v>0</v>
      </c>
      <c r="AH15" s="4" t="b">
        <v>0</v>
      </c>
      <c r="AJ15" s="23">
        <f t="shared" si="0"/>
        <v>31</v>
      </c>
      <c r="AK15" s="23">
        <f t="shared" si="1"/>
        <v>0</v>
      </c>
      <c r="AL15" s="24">
        <f t="shared" si="2"/>
        <v>0</v>
      </c>
    </row>
    <row r="17" spans="3:35" ht="22.5" customHeight="1" x14ac:dyDescent="0.25">
      <c r="C17" s="51"/>
      <c r="D17" s="52" t="s">
        <v>42</v>
      </c>
      <c r="E17" s="52"/>
      <c r="F17" s="52"/>
      <c r="G17" s="52"/>
      <c r="H17" s="52"/>
      <c r="I17" s="52"/>
      <c r="J17" s="52"/>
      <c r="K17" s="53"/>
      <c r="L17" s="53"/>
      <c r="M17" s="53"/>
      <c r="N17" s="54" t="s">
        <v>21</v>
      </c>
      <c r="O17" s="53"/>
      <c r="P17" s="53"/>
      <c r="Q17" s="53"/>
      <c r="R17" s="53"/>
      <c r="S17" s="54" t="s">
        <v>23</v>
      </c>
      <c r="T17" s="53"/>
      <c r="U17" s="55"/>
      <c r="V17" s="53"/>
      <c r="W17" s="53"/>
      <c r="X17" s="54" t="s">
        <v>27</v>
      </c>
      <c r="Y17" s="53"/>
      <c r="Z17" s="53"/>
      <c r="AA17" s="53"/>
      <c r="AB17" s="54" t="s">
        <v>28</v>
      </c>
      <c r="AC17" s="53"/>
      <c r="AD17" s="53"/>
      <c r="AE17" s="56"/>
      <c r="AF17" s="46"/>
      <c r="AG17" s="46"/>
      <c r="AH17" s="46"/>
      <c r="AI17" s="47"/>
    </row>
    <row r="18" spans="3:35" ht="22.5" customHeight="1" x14ac:dyDescent="0.25">
      <c r="C18" s="57"/>
      <c r="D18" s="58"/>
      <c r="E18" s="58"/>
      <c r="F18" s="58"/>
      <c r="G18" s="58"/>
      <c r="H18" s="58"/>
      <c r="I18" s="58"/>
      <c r="J18" s="58"/>
      <c r="K18" s="59"/>
      <c r="L18" s="59"/>
      <c r="M18" s="59"/>
      <c r="N18" s="60">
        <f>COUNTA(C23:C29)</f>
        <v>7</v>
      </c>
      <c r="O18" s="59"/>
      <c r="P18" s="59"/>
      <c r="Q18" s="59"/>
      <c r="R18" s="59"/>
      <c r="S18" s="60">
        <f>COUNTIF(D23:AE29,TRUE)</f>
        <v>0</v>
      </c>
      <c r="T18" s="59"/>
      <c r="U18" s="61"/>
      <c r="V18" s="59"/>
      <c r="W18" s="62">
        <f>COUNTIF(D23:AE29, TRUE)/(COUNTA(D22:AE22)*COUNTA(C23:C29))</f>
        <v>0</v>
      </c>
      <c r="X18" s="62"/>
      <c r="Y18" s="62"/>
      <c r="Z18" s="59"/>
      <c r="AA18" s="59"/>
      <c r="AB18" s="63">
        <f>COUNTIF(D23:AE29, TRUE)/(COUNTA(D22:AE22)*COUNTA(C23:C29))</f>
        <v>0</v>
      </c>
      <c r="AC18" s="59"/>
      <c r="AD18" s="59"/>
      <c r="AE18" s="64"/>
      <c r="AF18" s="46"/>
      <c r="AG18" s="46"/>
      <c r="AH18" s="46"/>
      <c r="AI18" s="47"/>
    </row>
    <row r="20" spans="3:35" ht="22.5" customHeight="1" x14ac:dyDescent="0.25">
      <c r="C20" s="76" t="s">
        <v>1</v>
      </c>
      <c r="D20" s="65" t="s">
        <v>9</v>
      </c>
      <c r="E20" s="65"/>
      <c r="F20" s="65"/>
      <c r="G20" s="65"/>
      <c r="H20" s="65"/>
      <c r="I20" s="65"/>
      <c r="J20" s="65"/>
      <c r="K20" s="77" t="s">
        <v>10</v>
      </c>
      <c r="L20" s="77"/>
      <c r="M20" s="77"/>
      <c r="N20" s="77"/>
      <c r="O20" s="77"/>
      <c r="P20" s="77"/>
      <c r="Q20" s="77"/>
      <c r="R20" s="65" t="s">
        <v>11</v>
      </c>
      <c r="S20" s="65"/>
      <c r="T20" s="65"/>
      <c r="U20" s="65"/>
      <c r="V20" s="65"/>
      <c r="W20" s="65"/>
      <c r="X20" s="65"/>
      <c r="Y20" s="77" t="s">
        <v>12</v>
      </c>
      <c r="Z20" s="77"/>
      <c r="AA20" s="77"/>
      <c r="AB20" s="77"/>
      <c r="AC20" s="77"/>
      <c r="AD20" s="77"/>
      <c r="AE20" s="77"/>
      <c r="AG20" s="88" t="s">
        <v>24</v>
      </c>
      <c r="AH20" s="88"/>
      <c r="AI20" s="88"/>
    </row>
    <row r="21" spans="3:35" ht="22.5" customHeight="1" x14ac:dyDescent="0.25">
      <c r="C21" s="76"/>
      <c r="D21" s="66" t="s">
        <v>3</v>
      </c>
      <c r="E21" s="66" t="s">
        <v>4</v>
      </c>
      <c r="F21" s="66" t="s">
        <v>5</v>
      </c>
      <c r="G21" s="66" t="s">
        <v>6</v>
      </c>
      <c r="H21" s="66" t="s">
        <v>7</v>
      </c>
      <c r="I21" s="66" t="s">
        <v>8</v>
      </c>
      <c r="J21" s="66" t="s">
        <v>2</v>
      </c>
      <c r="K21" s="78" t="s">
        <v>3</v>
      </c>
      <c r="L21" s="78" t="s">
        <v>4</v>
      </c>
      <c r="M21" s="78" t="s">
        <v>5</v>
      </c>
      <c r="N21" s="78" t="s">
        <v>6</v>
      </c>
      <c r="O21" s="78" t="s">
        <v>7</v>
      </c>
      <c r="P21" s="78" t="s">
        <v>8</v>
      </c>
      <c r="Q21" s="78" t="s">
        <v>2</v>
      </c>
      <c r="R21" s="66" t="s">
        <v>3</v>
      </c>
      <c r="S21" s="66" t="s">
        <v>4</v>
      </c>
      <c r="T21" s="66" t="s">
        <v>5</v>
      </c>
      <c r="U21" s="66" t="s">
        <v>6</v>
      </c>
      <c r="V21" s="66" t="s">
        <v>7</v>
      </c>
      <c r="W21" s="66" t="s">
        <v>8</v>
      </c>
      <c r="X21" s="66" t="s">
        <v>2</v>
      </c>
      <c r="Y21" s="78" t="s">
        <v>3</v>
      </c>
      <c r="Z21" s="78" t="s">
        <v>4</v>
      </c>
      <c r="AA21" s="78" t="s">
        <v>5</v>
      </c>
      <c r="AB21" s="78" t="s">
        <v>6</v>
      </c>
      <c r="AC21" s="78" t="s">
        <v>7</v>
      </c>
      <c r="AD21" s="78" t="s">
        <v>8</v>
      </c>
      <c r="AE21" s="78" t="s">
        <v>2</v>
      </c>
      <c r="AG21" s="88"/>
      <c r="AH21" s="88"/>
      <c r="AI21" s="88"/>
    </row>
    <row r="22" spans="3:35" ht="22.5" customHeight="1" x14ac:dyDescent="0.25">
      <c r="C22" s="76"/>
      <c r="D22" s="66">
        <v>1</v>
      </c>
      <c r="E22" s="66">
        <v>2</v>
      </c>
      <c r="F22" s="66">
        <v>3</v>
      </c>
      <c r="G22" s="66">
        <v>4</v>
      </c>
      <c r="H22" s="66">
        <v>5</v>
      </c>
      <c r="I22" s="66">
        <v>6</v>
      </c>
      <c r="J22" s="66">
        <v>7</v>
      </c>
      <c r="K22" s="78">
        <v>8</v>
      </c>
      <c r="L22" s="78">
        <v>9</v>
      </c>
      <c r="M22" s="78">
        <v>10</v>
      </c>
      <c r="N22" s="78">
        <v>11</v>
      </c>
      <c r="O22" s="78">
        <v>12</v>
      </c>
      <c r="P22" s="78">
        <v>13</v>
      </c>
      <c r="Q22" s="78">
        <v>14</v>
      </c>
      <c r="R22" s="66">
        <v>15</v>
      </c>
      <c r="S22" s="66">
        <v>16</v>
      </c>
      <c r="T22" s="66">
        <v>17</v>
      </c>
      <c r="U22" s="66">
        <v>18</v>
      </c>
      <c r="V22" s="66">
        <v>19</v>
      </c>
      <c r="W22" s="66">
        <v>20</v>
      </c>
      <c r="X22" s="66">
        <v>21</v>
      </c>
      <c r="Y22" s="78">
        <v>22</v>
      </c>
      <c r="Z22" s="78">
        <v>23</v>
      </c>
      <c r="AA22" s="78">
        <v>24</v>
      </c>
      <c r="AB22" s="78">
        <v>25</v>
      </c>
      <c r="AC22" s="78">
        <v>26</v>
      </c>
      <c r="AD22" s="78">
        <v>27</v>
      </c>
      <c r="AE22" s="78">
        <v>28</v>
      </c>
      <c r="AG22" s="90" t="s">
        <v>25</v>
      </c>
      <c r="AH22" s="90" t="s">
        <v>26</v>
      </c>
      <c r="AI22" s="90" t="s">
        <v>27</v>
      </c>
    </row>
    <row r="23" spans="3:35" ht="22.5" customHeight="1" x14ac:dyDescent="0.25">
      <c r="C23" s="94" t="s">
        <v>14</v>
      </c>
      <c r="D23" s="67" t="b">
        <v>0</v>
      </c>
      <c r="E23" s="68" t="b">
        <v>0</v>
      </c>
      <c r="F23" s="68" t="b">
        <v>0</v>
      </c>
      <c r="G23" s="68" t="b">
        <v>0</v>
      </c>
      <c r="H23" s="68" t="b">
        <v>0</v>
      </c>
      <c r="I23" s="68" t="b">
        <v>0</v>
      </c>
      <c r="J23" s="69" t="b">
        <v>0</v>
      </c>
      <c r="K23" s="79" t="b">
        <v>0</v>
      </c>
      <c r="L23" s="80" t="b">
        <v>0</v>
      </c>
      <c r="M23" s="80" t="b">
        <v>0</v>
      </c>
      <c r="N23" s="80" t="b">
        <v>0</v>
      </c>
      <c r="O23" s="80" t="b">
        <v>0</v>
      </c>
      <c r="P23" s="80" t="b">
        <v>0</v>
      </c>
      <c r="Q23" s="81" t="b">
        <v>0</v>
      </c>
      <c r="R23" s="67" t="b">
        <v>0</v>
      </c>
      <c r="S23" s="68" t="b">
        <v>0</v>
      </c>
      <c r="T23" s="68" t="b">
        <v>0</v>
      </c>
      <c r="U23" s="68" t="b">
        <v>0</v>
      </c>
      <c r="V23" s="68" t="b">
        <v>0</v>
      </c>
      <c r="W23" s="68" t="b">
        <v>0</v>
      </c>
      <c r="X23" s="69" t="b">
        <v>0</v>
      </c>
      <c r="Y23" s="79" t="b">
        <v>0</v>
      </c>
      <c r="Z23" s="80" t="b">
        <v>0</v>
      </c>
      <c r="AA23" s="80" t="b">
        <v>0</v>
      </c>
      <c r="AB23" s="80" t="b">
        <v>0</v>
      </c>
      <c r="AC23" s="80" t="b">
        <v>0</v>
      </c>
      <c r="AD23" s="80" t="b">
        <v>0</v>
      </c>
      <c r="AE23" s="81" t="b">
        <v>0</v>
      </c>
      <c r="AG23" s="23">
        <f>COUNTA($D$22:$AE$22)</f>
        <v>28</v>
      </c>
      <c r="AH23" s="23">
        <f>COUNTIF(D23:AE23, TRUE)</f>
        <v>0</v>
      </c>
      <c r="AI23" s="24">
        <f>AH23/AG23</f>
        <v>0</v>
      </c>
    </row>
    <row r="24" spans="3:35" ht="22.5" customHeight="1" x14ac:dyDescent="0.25">
      <c r="C24" s="95" t="s">
        <v>15</v>
      </c>
      <c r="D24" s="70" t="b">
        <v>0</v>
      </c>
      <c r="E24" s="71" t="b">
        <v>0</v>
      </c>
      <c r="F24" s="71" t="b">
        <v>0</v>
      </c>
      <c r="G24" s="71" t="b">
        <v>0</v>
      </c>
      <c r="H24" s="71" t="b">
        <v>0</v>
      </c>
      <c r="I24" s="71" t="b">
        <v>0</v>
      </c>
      <c r="J24" s="72" t="b">
        <v>0</v>
      </c>
      <c r="K24" s="82" t="b">
        <v>0</v>
      </c>
      <c r="L24" s="83" t="b">
        <v>0</v>
      </c>
      <c r="M24" s="83" t="b">
        <v>0</v>
      </c>
      <c r="N24" s="83" t="b">
        <v>0</v>
      </c>
      <c r="O24" s="83" t="b">
        <v>0</v>
      </c>
      <c r="P24" s="83" t="b">
        <v>0</v>
      </c>
      <c r="Q24" s="84" t="b">
        <v>0</v>
      </c>
      <c r="R24" s="70" t="b">
        <v>0</v>
      </c>
      <c r="S24" s="71" t="b">
        <v>0</v>
      </c>
      <c r="T24" s="71" t="b">
        <v>0</v>
      </c>
      <c r="U24" s="71" t="b">
        <v>0</v>
      </c>
      <c r="V24" s="71" t="b">
        <v>0</v>
      </c>
      <c r="W24" s="71" t="b">
        <v>0</v>
      </c>
      <c r="X24" s="72" t="b">
        <v>0</v>
      </c>
      <c r="Y24" s="82" t="b">
        <v>0</v>
      </c>
      <c r="Z24" s="83" t="b">
        <v>0</v>
      </c>
      <c r="AA24" s="83" t="b">
        <v>0</v>
      </c>
      <c r="AB24" s="83" t="b">
        <v>0</v>
      </c>
      <c r="AC24" s="83" t="b">
        <v>0</v>
      </c>
      <c r="AD24" s="83" t="b">
        <v>0</v>
      </c>
      <c r="AE24" s="84" t="b">
        <v>0</v>
      </c>
      <c r="AG24" s="23">
        <f t="shared" ref="AG24:AG29" si="3">COUNTA($D$22:$AE$22)</f>
        <v>28</v>
      </c>
      <c r="AH24" s="23">
        <f>COUNTIF(D24:AE24, TRUE)</f>
        <v>0</v>
      </c>
      <c r="AI24" s="24">
        <f t="shared" ref="AI24:AI29" si="4">AH24/AG24</f>
        <v>0</v>
      </c>
    </row>
    <row r="25" spans="3:35" ht="22.5" customHeight="1" x14ac:dyDescent="0.25">
      <c r="C25" s="95" t="s">
        <v>16</v>
      </c>
      <c r="D25" s="70" t="b">
        <v>0</v>
      </c>
      <c r="E25" s="71" t="b">
        <v>0</v>
      </c>
      <c r="F25" s="71" t="b">
        <v>0</v>
      </c>
      <c r="G25" s="71" t="b">
        <v>0</v>
      </c>
      <c r="H25" s="71" t="b">
        <v>0</v>
      </c>
      <c r="I25" s="71" t="b">
        <v>0</v>
      </c>
      <c r="J25" s="72" t="b">
        <v>0</v>
      </c>
      <c r="K25" s="82" t="b">
        <v>0</v>
      </c>
      <c r="L25" s="83" t="b">
        <v>0</v>
      </c>
      <c r="M25" s="83" t="b">
        <v>0</v>
      </c>
      <c r="N25" s="83" t="b">
        <v>0</v>
      </c>
      <c r="O25" s="83" t="b">
        <v>0</v>
      </c>
      <c r="P25" s="83" t="b">
        <v>0</v>
      </c>
      <c r="Q25" s="84" t="b">
        <v>0</v>
      </c>
      <c r="R25" s="70" t="b">
        <v>0</v>
      </c>
      <c r="S25" s="71" t="b">
        <v>0</v>
      </c>
      <c r="T25" s="71" t="b">
        <v>0</v>
      </c>
      <c r="U25" s="71" t="b">
        <v>0</v>
      </c>
      <c r="V25" s="71" t="b">
        <v>0</v>
      </c>
      <c r="W25" s="71" t="b">
        <v>0</v>
      </c>
      <c r="X25" s="72" t="b">
        <v>0</v>
      </c>
      <c r="Y25" s="82" t="b">
        <v>0</v>
      </c>
      <c r="Z25" s="83" t="b">
        <v>0</v>
      </c>
      <c r="AA25" s="83" t="b">
        <v>0</v>
      </c>
      <c r="AB25" s="83" t="b">
        <v>0</v>
      </c>
      <c r="AC25" s="83" t="b">
        <v>0</v>
      </c>
      <c r="AD25" s="83" t="b">
        <v>0</v>
      </c>
      <c r="AE25" s="84" t="b">
        <v>0</v>
      </c>
      <c r="AG25" s="23">
        <f t="shared" si="3"/>
        <v>28</v>
      </c>
      <c r="AH25" s="23">
        <f>COUNTIF(D25:AE25, TRUE)</f>
        <v>0</v>
      </c>
      <c r="AI25" s="24">
        <f t="shared" si="4"/>
        <v>0</v>
      </c>
    </row>
    <row r="26" spans="3:35" ht="22.5" customHeight="1" x14ac:dyDescent="0.25">
      <c r="C26" s="95" t="s">
        <v>17</v>
      </c>
      <c r="D26" s="70" t="b">
        <v>0</v>
      </c>
      <c r="E26" s="71" t="b">
        <v>0</v>
      </c>
      <c r="F26" s="71" t="b">
        <v>0</v>
      </c>
      <c r="G26" s="71" t="b">
        <v>0</v>
      </c>
      <c r="H26" s="71" t="b">
        <v>0</v>
      </c>
      <c r="I26" s="71" t="b">
        <v>0</v>
      </c>
      <c r="J26" s="72" t="b">
        <v>0</v>
      </c>
      <c r="K26" s="82" t="b">
        <v>0</v>
      </c>
      <c r="L26" s="83" t="b">
        <v>0</v>
      </c>
      <c r="M26" s="83" t="b">
        <v>0</v>
      </c>
      <c r="N26" s="83" t="b">
        <v>0</v>
      </c>
      <c r="O26" s="83" t="b">
        <v>0</v>
      </c>
      <c r="P26" s="83" t="b">
        <v>0</v>
      </c>
      <c r="Q26" s="84" t="b">
        <v>0</v>
      </c>
      <c r="R26" s="70" t="b">
        <v>0</v>
      </c>
      <c r="S26" s="71" t="b">
        <v>0</v>
      </c>
      <c r="T26" s="71" t="b">
        <v>0</v>
      </c>
      <c r="U26" s="71" t="b">
        <v>0</v>
      </c>
      <c r="V26" s="71" t="b">
        <v>0</v>
      </c>
      <c r="W26" s="71" t="b">
        <v>0</v>
      </c>
      <c r="X26" s="72" t="b">
        <v>0</v>
      </c>
      <c r="Y26" s="82" t="b">
        <v>0</v>
      </c>
      <c r="Z26" s="83" t="b">
        <v>0</v>
      </c>
      <c r="AA26" s="83" t="b">
        <v>0</v>
      </c>
      <c r="AB26" s="83" t="b">
        <v>0</v>
      </c>
      <c r="AC26" s="83" t="b">
        <v>0</v>
      </c>
      <c r="AD26" s="83" t="b">
        <v>0</v>
      </c>
      <c r="AE26" s="84" t="b">
        <v>0</v>
      </c>
      <c r="AG26" s="23">
        <f t="shared" si="3"/>
        <v>28</v>
      </c>
      <c r="AH26" s="23">
        <f>COUNTIF(D26:AE26, TRUE)</f>
        <v>0</v>
      </c>
      <c r="AI26" s="24">
        <f t="shared" si="4"/>
        <v>0</v>
      </c>
    </row>
    <row r="27" spans="3:35" ht="22.5" customHeight="1" x14ac:dyDescent="0.25">
      <c r="C27" s="95" t="s">
        <v>19</v>
      </c>
      <c r="D27" s="70" t="b">
        <v>0</v>
      </c>
      <c r="E27" s="71" t="b">
        <v>0</v>
      </c>
      <c r="F27" s="71" t="b">
        <v>0</v>
      </c>
      <c r="G27" s="71" t="b">
        <v>0</v>
      </c>
      <c r="H27" s="71" t="b">
        <v>0</v>
      </c>
      <c r="I27" s="71" t="b">
        <v>0</v>
      </c>
      <c r="J27" s="72" t="b">
        <v>0</v>
      </c>
      <c r="K27" s="82" t="b">
        <v>0</v>
      </c>
      <c r="L27" s="83" t="b">
        <v>0</v>
      </c>
      <c r="M27" s="83" t="b">
        <v>0</v>
      </c>
      <c r="N27" s="83" t="b">
        <v>0</v>
      </c>
      <c r="O27" s="83" t="b">
        <v>0</v>
      </c>
      <c r="P27" s="83" t="b">
        <v>0</v>
      </c>
      <c r="Q27" s="84" t="b">
        <v>0</v>
      </c>
      <c r="R27" s="70" t="b">
        <v>0</v>
      </c>
      <c r="S27" s="71" t="b">
        <v>0</v>
      </c>
      <c r="T27" s="71" t="b">
        <v>0</v>
      </c>
      <c r="U27" s="71" t="b">
        <v>0</v>
      </c>
      <c r="V27" s="71" t="b">
        <v>0</v>
      </c>
      <c r="W27" s="71" t="b">
        <v>0</v>
      </c>
      <c r="X27" s="72" t="b">
        <v>0</v>
      </c>
      <c r="Y27" s="82" t="b">
        <v>0</v>
      </c>
      <c r="Z27" s="83" t="b">
        <v>0</v>
      </c>
      <c r="AA27" s="83" t="b">
        <v>0</v>
      </c>
      <c r="AB27" s="83" t="b">
        <v>0</v>
      </c>
      <c r="AC27" s="83" t="b">
        <v>0</v>
      </c>
      <c r="AD27" s="83" t="b">
        <v>0</v>
      </c>
      <c r="AE27" s="84" t="b">
        <v>0</v>
      </c>
      <c r="AG27" s="23">
        <f t="shared" si="3"/>
        <v>28</v>
      </c>
      <c r="AH27" s="23">
        <f>COUNTIF(D27:AE27, TRUE)</f>
        <v>0</v>
      </c>
      <c r="AI27" s="24">
        <f t="shared" si="4"/>
        <v>0</v>
      </c>
    </row>
    <row r="28" spans="3:35" ht="22.5" customHeight="1" x14ac:dyDescent="0.25">
      <c r="C28" s="95" t="s">
        <v>20</v>
      </c>
      <c r="D28" s="70" t="b">
        <v>0</v>
      </c>
      <c r="E28" s="71" t="b">
        <v>0</v>
      </c>
      <c r="F28" s="71" t="b">
        <v>0</v>
      </c>
      <c r="G28" s="71" t="b">
        <v>0</v>
      </c>
      <c r="H28" s="71" t="b">
        <v>0</v>
      </c>
      <c r="I28" s="71" t="b">
        <v>0</v>
      </c>
      <c r="J28" s="72" t="b">
        <v>0</v>
      </c>
      <c r="K28" s="82" t="b">
        <v>0</v>
      </c>
      <c r="L28" s="83" t="b">
        <v>0</v>
      </c>
      <c r="M28" s="83" t="b">
        <v>0</v>
      </c>
      <c r="N28" s="83" t="b">
        <v>0</v>
      </c>
      <c r="O28" s="83" t="b">
        <v>0</v>
      </c>
      <c r="P28" s="83" t="b">
        <v>0</v>
      </c>
      <c r="Q28" s="84" t="b">
        <v>0</v>
      </c>
      <c r="R28" s="70" t="b">
        <v>0</v>
      </c>
      <c r="S28" s="71" t="b">
        <v>0</v>
      </c>
      <c r="T28" s="71" t="b">
        <v>0</v>
      </c>
      <c r="U28" s="71" t="b">
        <v>0</v>
      </c>
      <c r="V28" s="71" t="b">
        <v>0</v>
      </c>
      <c r="W28" s="71" t="b">
        <v>0</v>
      </c>
      <c r="X28" s="72" t="b">
        <v>0</v>
      </c>
      <c r="Y28" s="82" t="b">
        <v>0</v>
      </c>
      <c r="Z28" s="83" t="b">
        <v>0</v>
      </c>
      <c r="AA28" s="83" t="b">
        <v>0</v>
      </c>
      <c r="AB28" s="83" t="b">
        <v>0</v>
      </c>
      <c r="AC28" s="83" t="b">
        <v>0</v>
      </c>
      <c r="AD28" s="83" t="b">
        <v>0</v>
      </c>
      <c r="AE28" s="84" t="b">
        <v>0</v>
      </c>
      <c r="AG28" s="23">
        <f t="shared" si="3"/>
        <v>28</v>
      </c>
      <c r="AH28" s="23">
        <f>COUNTIF(D28:AE28, TRUE)</f>
        <v>0</v>
      </c>
      <c r="AI28" s="24">
        <f t="shared" si="4"/>
        <v>0</v>
      </c>
    </row>
    <row r="29" spans="3:35" ht="22.5" customHeight="1" x14ac:dyDescent="0.25">
      <c r="C29" s="96" t="s">
        <v>18</v>
      </c>
      <c r="D29" s="73" t="b">
        <v>0</v>
      </c>
      <c r="E29" s="74" t="b">
        <v>0</v>
      </c>
      <c r="F29" s="74" t="b">
        <v>0</v>
      </c>
      <c r="G29" s="74" t="b">
        <v>0</v>
      </c>
      <c r="H29" s="74" t="b">
        <v>0</v>
      </c>
      <c r="I29" s="74" t="b">
        <v>0</v>
      </c>
      <c r="J29" s="75" t="b">
        <v>0</v>
      </c>
      <c r="K29" s="85" t="b">
        <v>0</v>
      </c>
      <c r="L29" s="86" t="b">
        <v>0</v>
      </c>
      <c r="M29" s="86" t="b">
        <v>0</v>
      </c>
      <c r="N29" s="86" t="b">
        <v>0</v>
      </c>
      <c r="O29" s="86" t="b">
        <v>0</v>
      </c>
      <c r="P29" s="86" t="b">
        <v>0</v>
      </c>
      <c r="Q29" s="87" t="b">
        <v>0</v>
      </c>
      <c r="R29" s="73" t="b">
        <v>0</v>
      </c>
      <c r="S29" s="74" t="b">
        <v>0</v>
      </c>
      <c r="T29" s="74" t="b">
        <v>0</v>
      </c>
      <c r="U29" s="74" t="b">
        <v>0</v>
      </c>
      <c r="V29" s="74" t="b">
        <v>0</v>
      </c>
      <c r="W29" s="74" t="b">
        <v>0</v>
      </c>
      <c r="X29" s="75" t="b">
        <v>0</v>
      </c>
      <c r="Y29" s="85" t="b">
        <v>0</v>
      </c>
      <c r="Z29" s="86" t="b">
        <v>0</v>
      </c>
      <c r="AA29" s="86" t="b">
        <v>0</v>
      </c>
      <c r="AB29" s="86" t="b">
        <v>0</v>
      </c>
      <c r="AC29" s="86" t="b">
        <v>0</v>
      </c>
      <c r="AD29" s="86" t="b">
        <v>0</v>
      </c>
      <c r="AE29" s="87" t="b">
        <v>0</v>
      </c>
      <c r="AG29" s="23">
        <f t="shared" si="3"/>
        <v>28</v>
      </c>
      <c r="AH29" s="23">
        <f>COUNTIF(D29:AE29, TRUE)</f>
        <v>0</v>
      </c>
      <c r="AI29" s="24">
        <f t="shared" si="4"/>
        <v>0</v>
      </c>
    </row>
    <row r="31" spans="3:35" ht="22.5" customHeight="1" x14ac:dyDescent="0.25">
      <c r="C31" s="97"/>
      <c r="D31" s="98" t="s">
        <v>43</v>
      </c>
      <c r="E31" s="98"/>
      <c r="F31" s="98"/>
      <c r="G31" s="98"/>
      <c r="H31" s="98"/>
      <c r="I31" s="98"/>
      <c r="J31" s="98"/>
      <c r="K31" s="99"/>
      <c r="L31" s="99"/>
      <c r="M31" s="99"/>
      <c r="N31" s="100" t="s">
        <v>21</v>
      </c>
      <c r="O31" s="99"/>
      <c r="P31" s="99"/>
      <c r="Q31" s="99"/>
      <c r="R31" s="99"/>
      <c r="S31" s="100" t="s">
        <v>23</v>
      </c>
      <c r="T31" s="99"/>
      <c r="U31" s="101"/>
      <c r="V31" s="99"/>
      <c r="W31" s="99"/>
      <c r="X31" s="100" t="s">
        <v>27</v>
      </c>
      <c r="Y31" s="99"/>
      <c r="Z31" s="99"/>
      <c r="AA31" s="99"/>
      <c r="AB31" s="100" t="s">
        <v>28</v>
      </c>
      <c r="AC31" s="99"/>
      <c r="AD31" s="99"/>
      <c r="AE31" s="99"/>
      <c r="AF31" s="99"/>
      <c r="AG31" s="99"/>
      <c r="AH31" s="102"/>
    </row>
    <row r="32" spans="3:35" ht="22.5" customHeight="1" x14ac:dyDescent="0.25">
      <c r="C32" s="103"/>
      <c r="D32" s="104"/>
      <c r="E32" s="104"/>
      <c r="F32" s="104"/>
      <c r="G32" s="104"/>
      <c r="H32" s="104"/>
      <c r="I32" s="104"/>
      <c r="J32" s="104"/>
      <c r="K32" s="105"/>
      <c r="L32" s="105"/>
      <c r="M32" s="105"/>
      <c r="N32" s="106">
        <f>COUNTA(C37:C43)</f>
        <v>7</v>
      </c>
      <c r="O32" s="105"/>
      <c r="P32" s="105"/>
      <c r="Q32" s="105"/>
      <c r="R32" s="105"/>
      <c r="S32" s="106">
        <f>COUNTIF(D37:AH43,TRUE)</f>
        <v>0</v>
      </c>
      <c r="T32" s="105"/>
      <c r="U32" s="107"/>
      <c r="V32" s="105"/>
      <c r="W32" s="108">
        <f>COUNTIF(D37:AH43, TRUE)/(COUNTA(D36:AH36)*COUNTA(C37:C43))</f>
        <v>0</v>
      </c>
      <c r="X32" s="108"/>
      <c r="Y32" s="108"/>
      <c r="Z32" s="105"/>
      <c r="AA32" s="105"/>
      <c r="AB32" s="109">
        <f>COUNTIF(D37:AH43, TRUE)/(COUNTA(D36:AH36)*COUNTA(C37:C43))</f>
        <v>0</v>
      </c>
      <c r="AC32" s="105"/>
      <c r="AD32" s="105"/>
      <c r="AE32" s="105"/>
      <c r="AF32" s="105"/>
      <c r="AG32" s="105"/>
      <c r="AH32" s="110"/>
    </row>
    <row r="34" spans="3:38" ht="22.5" customHeight="1" x14ac:dyDescent="0.25">
      <c r="C34" s="122" t="s">
        <v>1</v>
      </c>
      <c r="D34" s="111" t="s">
        <v>9</v>
      </c>
      <c r="E34" s="111"/>
      <c r="F34" s="111"/>
      <c r="G34" s="111"/>
      <c r="H34" s="111"/>
      <c r="I34" s="111"/>
      <c r="J34" s="111"/>
      <c r="K34" s="126" t="s">
        <v>10</v>
      </c>
      <c r="L34" s="126"/>
      <c r="M34" s="126"/>
      <c r="N34" s="126"/>
      <c r="O34" s="126"/>
      <c r="P34" s="126"/>
      <c r="Q34" s="126"/>
      <c r="R34" s="111" t="s">
        <v>11</v>
      </c>
      <c r="S34" s="111"/>
      <c r="T34" s="111"/>
      <c r="U34" s="111"/>
      <c r="V34" s="111"/>
      <c r="W34" s="111"/>
      <c r="X34" s="111"/>
      <c r="Y34" s="126" t="s">
        <v>12</v>
      </c>
      <c r="Z34" s="126"/>
      <c r="AA34" s="126"/>
      <c r="AB34" s="126"/>
      <c r="AC34" s="126"/>
      <c r="AD34" s="126"/>
      <c r="AE34" s="126"/>
      <c r="AF34" s="111" t="s">
        <v>13</v>
      </c>
      <c r="AG34" s="111"/>
      <c r="AH34" s="111"/>
      <c r="AJ34" s="137" t="s">
        <v>24</v>
      </c>
      <c r="AK34" s="137"/>
      <c r="AL34" s="137"/>
    </row>
    <row r="35" spans="3:38" ht="22.5" customHeight="1" x14ac:dyDescent="0.25">
      <c r="C35" s="122"/>
      <c r="D35" s="112" t="s">
        <v>2</v>
      </c>
      <c r="E35" s="112" t="s">
        <v>3</v>
      </c>
      <c r="F35" s="112" t="s">
        <v>4</v>
      </c>
      <c r="G35" s="112" t="s">
        <v>5</v>
      </c>
      <c r="H35" s="112" t="s">
        <v>6</v>
      </c>
      <c r="I35" s="112" t="s">
        <v>7</v>
      </c>
      <c r="J35" s="112" t="s">
        <v>8</v>
      </c>
      <c r="K35" s="127" t="s">
        <v>2</v>
      </c>
      <c r="L35" s="127" t="s">
        <v>3</v>
      </c>
      <c r="M35" s="127" t="s">
        <v>4</v>
      </c>
      <c r="N35" s="127" t="s">
        <v>5</v>
      </c>
      <c r="O35" s="127" t="s">
        <v>6</v>
      </c>
      <c r="P35" s="127" t="s">
        <v>7</v>
      </c>
      <c r="Q35" s="127" t="s">
        <v>8</v>
      </c>
      <c r="R35" s="112" t="s">
        <v>2</v>
      </c>
      <c r="S35" s="112" t="s">
        <v>3</v>
      </c>
      <c r="T35" s="112" t="s">
        <v>4</v>
      </c>
      <c r="U35" s="112" t="s">
        <v>5</v>
      </c>
      <c r="V35" s="112" t="s">
        <v>6</v>
      </c>
      <c r="W35" s="112" t="s">
        <v>7</v>
      </c>
      <c r="X35" s="112" t="s">
        <v>8</v>
      </c>
      <c r="Y35" s="127" t="s">
        <v>2</v>
      </c>
      <c r="Z35" s="127" t="s">
        <v>3</v>
      </c>
      <c r="AA35" s="127" t="s">
        <v>4</v>
      </c>
      <c r="AB35" s="127" t="s">
        <v>5</v>
      </c>
      <c r="AC35" s="127" t="s">
        <v>6</v>
      </c>
      <c r="AD35" s="127" t="s">
        <v>7</v>
      </c>
      <c r="AE35" s="127" t="s">
        <v>8</v>
      </c>
      <c r="AF35" s="112" t="s">
        <v>2</v>
      </c>
      <c r="AG35" s="112" t="s">
        <v>3</v>
      </c>
      <c r="AH35" s="112" t="s">
        <v>4</v>
      </c>
      <c r="AJ35" s="137"/>
      <c r="AK35" s="137"/>
      <c r="AL35" s="137"/>
    </row>
    <row r="36" spans="3:38" ht="22.5" customHeight="1" x14ac:dyDescent="0.25">
      <c r="C36" s="122"/>
      <c r="D36" s="112">
        <v>1</v>
      </c>
      <c r="E36" s="112">
        <v>2</v>
      </c>
      <c r="F36" s="112">
        <v>3</v>
      </c>
      <c r="G36" s="112">
        <v>4</v>
      </c>
      <c r="H36" s="112">
        <v>5</v>
      </c>
      <c r="I36" s="112">
        <v>6</v>
      </c>
      <c r="J36" s="112">
        <v>7</v>
      </c>
      <c r="K36" s="127">
        <v>8</v>
      </c>
      <c r="L36" s="127">
        <v>9</v>
      </c>
      <c r="M36" s="127">
        <v>10</v>
      </c>
      <c r="N36" s="127">
        <v>11</v>
      </c>
      <c r="O36" s="127">
        <v>12</v>
      </c>
      <c r="P36" s="127">
        <v>13</v>
      </c>
      <c r="Q36" s="127">
        <v>14</v>
      </c>
      <c r="R36" s="112">
        <v>15</v>
      </c>
      <c r="S36" s="112">
        <v>16</v>
      </c>
      <c r="T36" s="112">
        <v>17</v>
      </c>
      <c r="U36" s="112">
        <v>18</v>
      </c>
      <c r="V36" s="112">
        <v>19</v>
      </c>
      <c r="W36" s="112">
        <v>20</v>
      </c>
      <c r="X36" s="112">
        <v>21</v>
      </c>
      <c r="Y36" s="127">
        <v>22</v>
      </c>
      <c r="Z36" s="127">
        <v>23</v>
      </c>
      <c r="AA36" s="127">
        <v>24</v>
      </c>
      <c r="AB36" s="127">
        <v>25</v>
      </c>
      <c r="AC36" s="127">
        <v>26</v>
      </c>
      <c r="AD36" s="127">
        <v>27</v>
      </c>
      <c r="AE36" s="127">
        <v>28</v>
      </c>
      <c r="AF36" s="112">
        <v>29</v>
      </c>
      <c r="AG36" s="112">
        <v>30</v>
      </c>
      <c r="AH36" s="112">
        <v>31</v>
      </c>
      <c r="AJ36" s="138" t="s">
        <v>25</v>
      </c>
      <c r="AK36" s="138" t="s">
        <v>26</v>
      </c>
      <c r="AL36" s="138" t="s">
        <v>27</v>
      </c>
    </row>
    <row r="37" spans="3:38" ht="22.5" customHeight="1" x14ac:dyDescent="0.25">
      <c r="C37" s="123" t="s">
        <v>14</v>
      </c>
      <c r="D37" s="113" t="b">
        <v>0</v>
      </c>
      <c r="E37" s="114" t="b">
        <v>0</v>
      </c>
      <c r="F37" s="114" t="b">
        <v>0</v>
      </c>
      <c r="G37" s="114" t="b">
        <v>0</v>
      </c>
      <c r="H37" s="114" t="b">
        <v>0</v>
      </c>
      <c r="I37" s="114" t="b">
        <v>0</v>
      </c>
      <c r="J37" s="115" t="b">
        <v>0</v>
      </c>
      <c r="K37" s="128" t="b">
        <v>0</v>
      </c>
      <c r="L37" s="129" t="b">
        <v>0</v>
      </c>
      <c r="M37" s="129" t="b">
        <v>0</v>
      </c>
      <c r="N37" s="129" t="b">
        <v>0</v>
      </c>
      <c r="O37" s="129" t="b">
        <v>0</v>
      </c>
      <c r="P37" s="129" t="b">
        <v>0</v>
      </c>
      <c r="Q37" s="130" t="b">
        <v>0</v>
      </c>
      <c r="R37" s="113" t="b">
        <v>0</v>
      </c>
      <c r="S37" s="114" t="b">
        <v>0</v>
      </c>
      <c r="T37" s="114" t="b">
        <v>0</v>
      </c>
      <c r="U37" s="114" t="b">
        <v>0</v>
      </c>
      <c r="V37" s="114" t="b">
        <v>0</v>
      </c>
      <c r="W37" s="114" t="b">
        <v>0</v>
      </c>
      <c r="X37" s="115" t="b">
        <v>0</v>
      </c>
      <c r="Y37" s="128" t="b">
        <v>0</v>
      </c>
      <c r="Z37" s="129" t="b">
        <v>0</v>
      </c>
      <c r="AA37" s="129" t="b">
        <v>0</v>
      </c>
      <c r="AB37" s="129" t="b">
        <v>0</v>
      </c>
      <c r="AC37" s="129" t="b">
        <v>0</v>
      </c>
      <c r="AD37" s="129" t="b">
        <v>0</v>
      </c>
      <c r="AE37" s="130" t="b">
        <v>0</v>
      </c>
      <c r="AF37" s="113" t="b">
        <v>0</v>
      </c>
      <c r="AG37" s="114" t="b">
        <v>0</v>
      </c>
      <c r="AH37" s="114" t="b">
        <v>0</v>
      </c>
      <c r="AJ37" s="23">
        <f>COUNTA($D$36:$AH$36)</f>
        <v>31</v>
      </c>
      <c r="AK37" s="23">
        <f>COUNTIF(D37:AH37, TRUE)</f>
        <v>0</v>
      </c>
      <c r="AL37" s="24">
        <f>AK37/AJ37</f>
        <v>0</v>
      </c>
    </row>
    <row r="38" spans="3:38" ht="22.5" customHeight="1" x14ac:dyDescent="0.25">
      <c r="C38" s="124" t="s">
        <v>15</v>
      </c>
      <c r="D38" s="116" t="b">
        <v>0</v>
      </c>
      <c r="E38" s="117" t="b">
        <v>0</v>
      </c>
      <c r="F38" s="117" t="b">
        <v>0</v>
      </c>
      <c r="G38" s="117" t="b">
        <v>0</v>
      </c>
      <c r="H38" s="117" t="b">
        <v>0</v>
      </c>
      <c r="I38" s="117" t="b">
        <v>0</v>
      </c>
      <c r="J38" s="118" t="b">
        <v>0</v>
      </c>
      <c r="K38" s="131" t="b">
        <v>0</v>
      </c>
      <c r="L38" s="132" t="b">
        <v>0</v>
      </c>
      <c r="M38" s="132" t="b">
        <v>0</v>
      </c>
      <c r="N38" s="132" t="b">
        <v>0</v>
      </c>
      <c r="O38" s="132" t="b">
        <v>0</v>
      </c>
      <c r="P38" s="132" t="b">
        <v>0</v>
      </c>
      <c r="Q38" s="133" t="b">
        <v>0</v>
      </c>
      <c r="R38" s="116" t="b">
        <v>0</v>
      </c>
      <c r="S38" s="117" t="b">
        <v>0</v>
      </c>
      <c r="T38" s="117" t="b">
        <v>0</v>
      </c>
      <c r="U38" s="117" t="b">
        <v>0</v>
      </c>
      <c r="V38" s="117" t="b">
        <v>0</v>
      </c>
      <c r="W38" s="117" t="b">
        <v>0</v>
      </c>
      <c r="X38" s="118" t="b">
        <v>0</v>
      </c>
      <c r="Y38" s="131" t="b">
        <v>0</v>
      </c>
      <c r="Z38" s="132" t="b">
        <v>0</v>
      </c>
      <c r="AA38" s="132" t="b">
        <v>0</v>
      </c>
      <c r="AB38" s="132" t="b">
        <v>0</v>
      </c>
      <c r="AC38" s="132" t="b">
        <v>0</v>
      </c>
      <c r="AD38" s="132" t="b">
        <v>0</v>
      </c>
      <c r="AE38" s="133" t="b">
        <v>0</v>
      </c>
      <c r="AF38" s="116" t="b">
        <v>0</v>
      </c>
      <c r="AG38" s="117" t="b">
        <v>0</v>
      </c>
      <c r="AH38" s="117" t="b">
        <v>0</v>
      </c>
      <c r="AJ38" s="23">
        <f t="shared" ref="AJ38:AJ43" si="5">COUNTA($D$36:$AH$36)</f>
        <v>31</v>
      </c>
      <c r="AK38" s="23">
        <f t="shared" ref="AK38:AK43" si="6">COUNTIF(D38:AH38, TRUE)</f>
        <v>0</v>
      </c>
      <c r="AL38" s="24">
        <f t="shared" ref="AL38:AL43" si="7">AK38/AJ38</f>
        <v>0</v>
      </c>
    </row>
    <row r="39" spans="3:38" ht="22.5" customHeight="1" x14ac:dyDescent="0.25">
      <c r="C39" s="124" t="s">
        <v>16</v>
      </c>
      <c r="D39" s="116" t="b">
        <v>0</v>
      </c>
      <c r="E39" s="117" t="b">
        <v>0</v>
      </c>
      <c r="F39" s="117" t="b">
        <v>0</v>
      </c>
      <c r="G39" s="117" t="b">
        <v>0</v>
      </c>
      <c r="H39" s="117" t="b">
        <v>0</v>
      </c>
      <c r="I39" s="117" t="b">
        <v>0</v>
      </c>
      <c r="J39" s="118" t="b">
        <v>0</v>
      </c>
      <c r="K39" s="131" t="b">
        <v>0</v>
      </c>
      <c r="L39" s="132" t="b">
        <v>0</v>
      </c>
      <c r="M39" s="132" t="b">
        <v>0</v>
      </c>
      <c r="N39" s="132" t="b">
        <v>0</v>
      </c>
      <c r="O39" s="132" t="b">
        <v>0</v>
      </c>
      <c r="P39" s="132" t="b">
        <v>0</v>
      </c>
      <c r="Q39" s="133" t="b">
        <v>0</v>
      </c>
      <c r="R39" s="116" t="b">
        <v>0</v>
      </c>
      <c r="S39" s="117" t="b">
        <v>0</v>
      </c>
      <c r="T39" s="117" t="b">
        <v>0</v>
      </c>
      <c r="U39" s="117" t="b">
        <v>0</v>
      </c>
      <c r="V39" s="117" t="b">
        <v>0</v>
      </c>
      <c r="W39" s="117" t="b">
        <v>0</v>
      </c>
      <c r="X39" s="118" t="b">
        <v>0</v>
      </c>
      <c r="Y39" s="131" t="b">
        <v>0</v>
      </c>
      <c r="Z39" s="132" t="b">
        <v>0</v>
      </c>
      <c r="AA39" s="132" t="b">
        <v>0</v>
      </c>
      <c r="AB39" s="132" t="b">
        <v>0</v>
      </c>
      <c r="AC39" s="132" t="b">
        <v>0</v>
      </c>
      <c r="AD39" s="132" t="b">
        <v>0</v>
      </c>
      <c r="AE39" s="133" t="b">
        <v>0</v>
      </c>
      <c r="AF39" s="116" t="b">
        <v>0</v>
      </c>
      <c r="AG39" s="117" t="b">
        <v>0</v>
      </c>
      <c r="AH39" s="117" t="b">
        <v>0</v>
      </c>
      <c r="AJ39" s="23">
        <f t="shared" si="5"/>
        <v>31</v>
      </c>
      <c r="AK39" s="23">
        <f>COUNTIF(D39:AH39, TRUE)</f>
        <v>0</v>
      </c>
      <c r="AL39" s="24">
        <f t="shared" si="7"/>
        <v>0</v>
      </c>
    </row>
    <row r="40" spans="3:38" ht="22.5" customHeight="1" x14ac:dyDescent="0.25">
      <c r="C40" s="124" t="s">
        <v>17</v>
      </c>
      <c r="D40" s="116" t="b">
        <v>0</v>
      </c>
      <c r="E40" s="117" t="b">
        <v>0</v>
      </c>
      <c r="F40" s="117" t="b">
        <v>0</v>
      </c>
      <c r="G40" s="117" t="b">
        <v>0</v>
      </c>
      <c r="H40" s="117" t="b">
        <v>0</v>
      </c>
      <c r="I40" s="117" t="b">
        <v>0</v>
      </c>
      <c r="J40" s="118" t="b">
        <v>0</v>
      </c>
      <c r="K40" s="131" t="b">
        <v>0</v>
      </c>
      <c r="L40" s="132" t="b">
        <v>0</v>
      </c>
      <c r="M40" s="132" t="b">
        <v>0</v>
      </c>
      <c r="N40" s="132" t="b">
        <v>0</v>
      </c>
      <c r="O40" s="132" t="b">
        <v>0</v>
      </c>
      <c r="P40" s="132" t="b">
        <v>0</v>
      </c>
      <c r="Q40" s="133" t="b">
        <v>0</v>
      </c>
      <c r="R40" s="116" t="b">
        <v>0</v>
      </c>
      <c r="S40" s="117" t="b">
        <v>0</v>
      </c>
      <c r="T40" s="117" t="b">
        <v>0</v>
      </c>
      <c r="U40" s="117" t="b">
        <v>0</v>
      </c>
      <c r="V40" s="117" t="b">
        <v>0</v>
      </c>
      <c r="W40" s="117" t="b">
        <v>0</v>
      </c>
      <c r="X40" s="118" t="b">
        <v>0</v>
      </c>
      <c r="Y40" s="131" t="b">
        <v>0</v>
      </c>
      <c r="Z40" s="132" t="b">
        <v>0</v>
      </c>
      <c r="AA40" s="132" t="b">
        <v>0</v>
      </c>
      <c r="AB40" s="132" t="b">
        <v>0</v>
      </c>
      <c r="AC40" s="132" t="b">
        <v>0</v>
      </c>
      <c r="AD40" s="132" t="b">
        <v>0</v>
      </c>
      <c r="AE40" s="133" t="b">
        <v>0</v>
      </c>
      <c r="AF40" s="116" t="b">
        <v>0</v>
      </c>
      <c r="AG40" s="117" t="b">
        <v>0</v>
      </c>
      <c r="AH40" s="117" t="b">
        <v>0</v>
      </c>
      <c r="AJ40" s="23">
        <f t="shared" si="5"/>
        <v>31</v>
      </c>
      <c r="AK40" s="23">
        <f t="shared" si="6"/>
        <v>0</v>
      </c>
      <c r="AL40" s="24">
        <f t="shared" si="7"/>
        <v>0</v>
      </c>
    </row>
    <row r="41" spans="3:38" ht="22.5" customHeight="1" x14ac:dyDescent="0.25">
      <c r="C41" s="124" t="s">
        <v>19</v>
      </c>
      <c r="D41" s="116" t="b">
        <v>0</v>
      </c>
      <c r="E41" s="117" t="b">
        <v>0</v>
      </c>
      <c r="F41" s="117" t="b">
        <v>0</v>
      </c>
      <c r="G41" s="117" t="b">
        <v>0</v>
      </c>
      <c r="H41" s="117" t="b">
        <v>0</v>
      </c>
      <c r="I41" s="117" t="b">
        <v>0</v>
      </c>
      <c r="J41" s="118" t="b">
        <v>0</v>
      </c>
      <c r="K41" s="131" t="b">
        <v>0</v>
      </c>
      <c r="L41" s="132" t="b">
        <v>0</v>
      </c>
      <c r="M41" s="132" t="b">
        <v>0</v>
      </c>
      <c r="N41" s="132" t="b">
        <v>0</v>
      </c>
      <c r="O41" s="132" t="b">
        <v>0</v>
      </c>
      <c r="P41" s="132" t="b">
        <v>0</v>
      </c>
      <c r="Q41" s="133" t="b">
        <v>0</v>
      </c>
      <c r="R41" s="116" t="b">
        <v>0</v>
      </c>
      <c r="S41" s="117" t="b">
        <v>0</v>
      </c>
      <c r="T41" s="117" t="b">
        <v>0</v>
      </c>
      <c r="U41" s="117" t="b">
        <v>0</v>
      </c>
      <c r="V41" s="117" t="b">
        <v>0</v>
      </c>
      <c r="W41" s="117" t="b">
        <v>0</v>
      </c>
      <c r="X41" s="118" t="b">
        <v>0</v>
      </c>
      <c r="Y41" s="131" t="b">
        <v>0</v>
      </c>
      <c r="Z41" s="132" t="b">
        <v>0</v>
      </c>
      <c r="AA41" s="132" t="b">
        <v>0</v>
      </c>
      <c r="AB41" s="132" t="b">
        <v>0</v>
      </c>
      <c r="AC41" s="132" t="b">
        <v>0</v>
      </c>
      <c r="AD41" s="132" t="b">
        <v>0</v>
      </c>
      <c r="AE41" s="133" t="b">
        <v>0</v>
      </c>
      <c r="AF41" s="116" t="b">
        <v>0</v>
      </c>
      <c r="AG41" s="117" t="b">
        <v>0</v>
      </c>
      <c r="AH41" s="117" t="b">
        <v>0</v>
      </c>
      <c r="AJ41" s="23">
        <f t="shared" si="5"/>
        <v>31</v>
      </c>
      <c r="AK41" s="23">
        <f t="shared" si="6"/>
        <v>0</v>
      </c>
      <c r="AL41" s="24">
        <f t="shared" si="7"/>
        <v>0</v>
      </c>
    </row>
    <row r="42" spans="3:38" ht="22.5" customHeight="1" x14ac:dyDescent="0.25">
      <c r="C42" s="124" t="s">
        <v>20</v>
      </c>
      <c r="D42" s="116" t="b">
        <v>0</v>
      </c>
      <c r="E42" s="117" t="b">
        <v>0</v>
      </c>
      <c r="F42" s="117" t="b">
        <v>0</v>
      </c>
      <c r="G42" s="117" t="b">
        <v>0</v>
      </c>
      <c r="H42" s="117" t="b">
        <v>0</v>
      </c>
      <c r="I42" s="117" t="b">
        <v>0</v>
      </c>
      <c r="J42" s="118" t="b">
        <v>0</v>
      </c>
      <c r="K42" s="131" t="b">
        <v>0</v>
      </c>
      <c r="L42" s="132" t="b">
        <v>0</v>
      </c>
      <c r="M42" s="132" t="b">
        <v>0</v>
      </c>
      <c r="N42" s="132" t="b">
        <v>0</v>
      </c>
      <c r="O42" s="132" t="b">
        <v>0</v>
      </c>
      <c r="P42" s="132" t="b">
        <v>0</v>
      </c>
      <c r="Q42" s="133" t="b">
        <v>0</v>
      </c>
      <c r="R42" s="116" t="b">
        <v>0</v>
      </c>
      <c r="S42" s="117" t="b">
        <v>0</v>
      </c>
      <c r="T42" s="117" t="b">
        <v>0</v>
      </c>
      <c r="U42" s="117" t="b">
        <v>0</v>
      </c>
      <c r="V42" s="117" t="b">
        <v>0</v>
      </c>
      <c r="W42" s="117" t="b">
        <v>0</v>
      </c>
      <c r="X42" s="118" t="b">
        <v>0</v>
      </c>
      <c r="Y42" s="131" t="b">
        <v>0</v>
      </c>
      <c r="Z42" s="132" t="b">
        <v>0</v>
      </c>
      <c r="AA42" s="132" t="b">
        <v>0</v>
      </c>
      <c r="AB42" s="132" t="b">
        <v>0</v>
      </c>
      <c r="AC42" s="132" t="b">
        <v>0</v>
      </c>
      <c r="AD42" s="132" t="b">
        <v>0</v>
      </c>
      <c r="AE42" s="133" t="b">
        <v>0</v>
      </c>
      <c r="AF42" s="116" t="b">
        <v>0</v>
      </c>
      <c r="AG42" s="117" t="b">
        <v>0</v>
      </c>
      <c r="AH42" s="117" t="b">
        <v>0</v>
      </c>
      <c r="AJ42" s="23">
        <f t="shared" si="5"/>
        <v>31</v>
      </c>
      <c r="AK42" s="23">
        <f t="shared" si="6"/>
        <v>0</v>
      </c>
      <c r="AL42" s="24">
        <f t="shared" si="7"/>
        <v>0</v>
      </c>
    </row>
    <row r="43" spans="3:38" ht="22.5" customHeight="1" x14ac:dyDescent="0.25">
      <c r="C43" s="125" t="s">
        <v>18</v>
      </c>
      <c r="D43" s="119" t="b">
        <v>0</v>
      </c>
      <c r="E43" s="120" t="b">
        <v>0</v>
      </c>
      <c r="F43" s="120" t="b">
        <v>0</v>
      </c>
      <c r="G43" s="120" t="b">
        <v>0</v>
      </c>
      <c r="H43" s="120" t="b">
        <v>0</v>
      </c>
      <c r="I43" s="120" t="b">
        <v>0</v>
      </c>
      <c r="J43" s="121" t="b">
        <v>0</v>
      </c>
      <c r="K43" s="134" t="b">
        <v>0</v>
      </c>
      <c r="L43" s="135" t="b">
        <v>0</v>
      </c>
      <c r="M43" s="135" t="b">
        <v>0</v>
      </c>
      <c r="N43" s="135" t="b">
        <v>0</v>
      </c>
      <c r="O43" s="135" t="b">
        <v>0</v>
      </c>
      <c r="P43" s="135" t="b">
        <v>0</v>
      </c>
      <c r="Q43" s="136" t="b">
        <v>0</v>
      </c>
      <c r="R43" s="119" t="b">
        <v>0</v>
      </c>
      <c r="S43" s="120" t="b">
        <v>0</v>
      </c>
      <c r="T43" s="120" t="b">
        <v>0</v>
      </c>
      <c r="U43" s="120" t="b">
        <v>0</v>
      </c>
      <c r="V43" s="120" t="b">
        <v>0</v>
      </c>
      <c r="W43" s="120" t="b">
        <v>0</v>
      </c>
      <c r="X43" s="121" t="b">
        <v>0</v>
      </c>
      <c r="Y43" s="134" t="b">
        <v>0</v>
      </c>
      <c r="Z43" s="135" t="b">
        <v>0</v>
      </c>
      <c r="AA43" s="135" t="b">
        <v>0</v>
      </c>
      <c r="AB43" s="135" t="b">
        <v>0</v>
      </c>
      <c r="AC43" s="135" t="b">
        <v>0</v>
      </c>
      <c r="AD43" s="135" t="b">
        <v>0</v>
      </c>
      <c r="AE43" s="136" t="b">
        <v>0</v>
      </c>
      <c r="AF43" s="119" t="b">
        <v>0</v>
      </c>
      <c r="AG43" s="120" t="b">
        <v>0</v>
      </c>
      <c r="AH43" s="120" t="b">
        <v>0</v>
      </c>
      <c r="AJ43" s="23">
        <f t="shared" si="5"/>
        <v>31</v>
      </c>
      <c r="AK43" s="23">
        <f t="shared" si="6"/>
        <v>0</v>
      </c>
      <c r="AL43" s="24">
        <f t="shared" si="7"/>
        <v>0</v>
      </c>
    </row>
  </sheetData>
  <mergeCells count="26">
    <mergeCell ref="AG20:AI21"/>
    <mergeCell ref="D31:J32"/>
    <mergeCell ref="W32:Y32"/>
    <mergeCell ref="C34:C36"/>
    <mergeCell ref="D34:J34"/>
    <mergeCell ref="K34:Q34"/>
    <mergeCell ref="R34:X34"/>
    <mergeCell ref="Y34:AE34"/>
    <mergeCell ref="AF34:AH34"/>
    <mergeCell ref="AJ34:AL35"/>
    <mergeCell ref="D17:J18"/>
    <mergeCell ref="W18:Y18"/>
    <mergeCell ref="C20:C22"/>
    <mergeCell ref="D20:J20"/>
    <mergeCell ref="K20:Q20"/>
    <mergeCell ref="R20:X20"/>
    <mergeCell ref="Y20:AE20"/>
    <mergeCell ref="C6:C8"/>
    <mergeCell ref="D3:J4"/>
    <mergeCell ref="AJ6:AL7"/>
    <mergeCell ref="W4:Y4"/>
    <mergeCell ref="D6:J6"/>
    <mergeCell ref="K6:Q6"/>
    <mergeCell ref="R6:X6"/>
    <mergeCell ref="Y6:AE6"/>
    <mergeCell ref="AF6:AH6"/>
  </mergeCells>
  <phoneticPr fontId="5" type="noConversion"/>
  <conditionalFormatting sqref="D9">
    <cfRule type="dataBar" priority="12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{5ED69647-70F7-4B31-BC60-FE05E7E62523}</x14:id>
        </ext>
      </extLst>
    </cfRule>
  </conditionalFormatting>
  <conditionalFormatting sqref="W4">
    <cfRule type="dataBar" priority="9">
      <dataBar showValue="0">
        <cfvo type="num" val="0"/>
        <cfvo type="num" val="1"/>
        <color theme="0" tint="-4.9989318521683403E-2"/>
      </dataBar>
      <extLst>
        <ext xmlns:x14="http://schemas.microsoft.com/office/spreadsheetml/2009/9/main" uri="{B025F937-C7B1-47D3-B67F-A62EFF666E3E}">
          <x14:id>{16FF151F-02E3-478F-99D5-766BAB02E6CC}</x14:id>
        </ext>
      </extLst>
    </cfRule>
  </conditionalFormatting>
  <conditionalFormatting sqref="AL9:AL15">
    <cfRule type="dataBar" priority="10">
      <dataBar showValue="0"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{D8E2A7FE-A212-43C1-B471-5DF116DB2D6A}</x14:id>
        </ext>
      </extLst>
    </cfRule>
  </conditionalFormatting>
  <conditionalFormatting sqref="W18">
    <cfRule type="dataBar" priority="6">
      <dataBar showValue="0">
        <cfvo type="num" val="0"/>
        <cfvo type="num" val="1"/>
        <color theme="0" tint="-4.9989318521683403E-2"/>
      </dataBar>
      <extLst>
        <ext xmlns:x14="http://schemas.microsoft.com/office/spreadsheetml/2009/9/main" uri="{B025F937-C7B1-47D3-B67F-A62EFF666E3E}">
          <x14:id>{6BA8D6BF-52F8-45F4-AFFC-5EAD417FC0CB}</x14:id>
        </ext>
      </extLst>
    </cfRule>
  </conditionalFormatting>
  <conditionalFormatting sqref="AI23:AI29">
    <cfRule type="dataBar" priority="7">
      <dataBar showValue="0"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{B7095668-C588-4391-8B24-5D0CFDE1237A}</x14:id>
        </ext>
      </extLst>
    </cfRule>
  </conditionalFormatting>
  <conditionalFormatting sqref="D23">
    <cfRule type="dataBar" priority="5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{283FAB69-0992-4647-A3CD-A6075950C2C0}</x14:id>
        </ext>
      </extLst>
    </cfRule>
  </conditionalFormatting>
  <conditionalFormatting sqref="D37">
    <cfRule type="dataBar" priority="4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{77B46F2F-C151-4BAA-8588-7DD781F7EE70}</x14:id>
        </ext>
      </extLst>
    </cfRule>
  </conditionalFormatting>
  <conditionalFormatting sqref="W32">
    <cfRule type="dataBar" priority="2">
      <dataBar showValue="0">
        <cfvo type="num" val="0"/>
        <cfvo type="num" val="1"/>
        <color theme="0" tint="-4.9989318521683403E-2"/>
      </dataBar>
      <extLst>
        <ext xmlns:x14="http://schemas.microsoft.com/office/spreadsheetml/2009/9/main" uri="{B025F937-C7B1-47D3-B67F-A62EFF666E3E}">
          <x14:id>{B32DB54E-182A-4C09-ACA3-6B1667566AF0}</x14:id>
        </ext>
      </extLst>
    </cfRule>
  </conditionalFormatting>
  <conditionalFormatting sqref="AL37:AL43">
    <cfRule type="dataBar" priority="3">
      <dataBar showValue="0"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{F2BCA952-3E8B-4860-AA7C-36EC11AA4BE2}</x14:id>
        </ext>
      </extLst>
    </cfRule>
  </conditionalFormatting>
  <conditionalFormatting sqref="R37 AF37"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{CD510ECC-8753-47BB-A2F5-05BBFC071945}</x14:id>
        </ext>
      </extLst>
    </cfRule>
  </conditionalFormatting>
  <hyperlinks>
    <hyperlink ref="A1" location="Tracker!B2" display="Home" xr:uid="{305CD81D-1102-472E-AC11-9D755834CCB3}"/>
    <hyperlink ref="L1" location="JANUARY2026" display="Jan" xr:uid="{C5F547FB-EECA-4467-BF87-0D6CBA78D93A}"/>
    <hyperlink ref="M1" location="FEBRUARY2026" display="Feb" xr:uid="{F81387FE-461E-4315-A2C3-08EE90B4D5BE}"/>
    <hyperlink ref="N1" location="MARCH2026" display="Mar" xr:uid="{0AEAC8CF-A4C7-4688-B150-66CB42A3BA1D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D69647-70F7-4B31-BC60-FE05E7E625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</xm:sqref>
        </x14:conditionalFormatting>
        <x14:conditionalFormatting xmlns:xm="http://schemas.microsoft.com/office/excel/2006/main">
          <x14:cfRule type="dataBar" id="{16FF151F-02E3-478F-99D5-766BAB02E6CC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W4</xm:sqref>
        </x14:conditionalFormatting>
        <x14:conditionalFormatting xmlns:xm="http://schemas.microsoft.com/office/excel/2006/main">
          <x14:cfRule type="dataBar" id="{D8E2A7FE-A212-43C1-B471-5DF116DB2D6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AL9:AL15</xm:sqref>
        </x14:conditionalFormatting>
        <x14:conditionalFormatting xmlns:xm="http://schemas.microsoft.com/office/excel/2006/main">
          <x14:cfRule type="dataBar" id="{6BA8D6BF-52F8-45F4-AFFC-5EAD417FC0CB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W18</xm:sqref>
        </x14:conditionalFormatting>
        <x14:conditionalFormatting xmlns:xm="http://schemas.microsoft.com/office/excel/2006/main">
          <x14:cfRule type="dataBar" id="{B7095668-C588-4391-8B24-5D0CFDE1237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AI23:AI29</xm:sqref>
        </x14:conditionalFormatting>
        <x14:conditionalFormatting xmlns:xm="http://schemas.microsoft.com/office/excel/2006/main">
          <x14:cfRule type="dataBar" id="{283FAB69-0992-4647-A3CD-A6075950C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D23</xm:sqref>
        </x14:conditionalFormatting>
        <x14:conditionalFormatting xmlns:xm="http://schemas.microsoft.com/office/excel/2006/main">
          <x14:cfRule type="dataBar" id="{77B46F2F-C151-4BAA-8588-7DD781F7EE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D37</xm:sqref>
        </x14:conditionalFormatting>
        <x14:conditionalFormatting xmlns:xm="http://schemas.microsoft.com/office/excel/2006/main">
          <x14:cfRule type="dataBar" id="{B32DB54E-182A-4C09-ACA3-6B1667566AF0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W32</xm:sqref>
        </x14:conditionalFormatting>
        <x14:conditionalFormatting xmlns:xm="http://schemas.microsoft.com/office/excel/2006/main">
          <x14:cfRule type="dataBar" id="{F2BCA952-3E8B-4860-AA7C-36EC11AA4BE2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AL37:AL43</xm:sqref>
        </x14:conditionalFormatting>
        <x14:conditionalFormatting xmlns:xm="http://schemas.microsoft.com/office/excel/2006/main">
          <x14:cfRule type="dataBar" id="{CD510ECC-8753-47BB-A2F5-05BBFC0719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R37 AF37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Tracker</vt:lpstr>
      <vt:lpstr>FEBRUARY2026</vt:lpstr>
      <vt:lpstr>JANUARY2026</vt:lpstr>
      <vt:lpstr>MARCH2026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Jedrek Gabison</dc:creator>
  <cp:lastModifiedBy>Liam Jedrek Gabison</cp:lastModifiedBy>
  <dcterms:created xsi:type="dcterms:W3CDTF">2026-03-05T11:01:47Z</dcterms:created>
  <dcterms:modified xsi:type="dcterms:W3CDTF">2026-03-07T13:54:58Z</dcterms:modified>
</cp:coreProperties>
</file>